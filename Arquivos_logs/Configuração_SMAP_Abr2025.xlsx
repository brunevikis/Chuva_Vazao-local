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lilian.yamamoto\Downloads\"/>
    </mc:Choice>
  </mc:AlternateContent>
  <xr:revisionPtr revIDLastSave="0" documentId="13_ncr:1_{AB8EB90E-1590-4B8A-B26D-6890F7B56919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PSAT" sheetId="18" r:id="rId1"/>
    <sheet name="RESUMO" sheetId="31" r:id="rId2"/>
    <sheet name="SMAP GRANDE E PARANAIBA" sheetId="9" r:id="rId3"/>
    <sheet name="SMAP PARANAZÃO" sheetId="10" r:id="rId4"/>
    <sheet name="SMAP SUL" sheetId="13" r:id="rId5"/>
    <sheet name="SMAP NE" sheetId="7" r:id="rId6"/>
    <sheet name="SMAP NORTE" sheetId="8" r:id="rId7"/>
    <sheet name="SMAP OUTRAS_SE" sheetId="2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" i="8" l="1"/>
  <c r="G151" i="8"/>
  <c r="E151" i="8"/>
  <c r="G150" i="8"/>
  <c r="G242" i="8" l="1"/>
  <c r="G241" i="8"/>
  <c r="E241" i="8"/>
  <c r="G240" i="8"/>
  <c r="N23" i="31" a="1"/>
  <c r="N23" i="31" s="1"/>
  <c r="N39" i="31" a="1"/>
  <c r="N39" i="31" s="1"/>
  <c r="N53" i="31" a="1"/>
  <c r="N53" i="31" s="1"/>
  <c r="N65" i="31" a="1"/>
  <c r="N65" i="31" s="1"/>
  <c r="N71" i="31" a="1"/>
  <c r="N71" i="31" s="1"/>
  <c r="N79" i="31" a="1"/>
  <c r="N79" i="31" s="1"/>
  <c r="N99" i="31" a="1"/>
  <c r="N99" i="31" s="1"/>
  <c r="N155" i="31" a="1"/>
  <c r="N155" i="31" s="1"/>
  <c r="D431" i="10"/>
  <c r="C431" i="10"/>
  <c r="B431" i="10"/>
  <c r="D409" i="10"/>
  <c r="C409" i="10"/>
  <c r="B409" i="10"/>
  <c r="D387" i="10"/>
  <c r="C387" i="10"/>
  <c r="B387" i="10"/>
  <c r="D366" i="10"/>
  <c r="C366" i="10"/>
  <c r="B366" i="10"/>
  <c r="H174" i="31" a="1"/>
  <c r="H2" i="31" a="1"/>
  <c r="H174" i="31" l="1"/>
  <c r="H2" i="31"/>
  <c r="I2" i="31"/>
  <c r="F174" i="31" a="1"/>
  <c r="F2" i="31" a="1"/>
  <c r="F174" i="31" l="1"/>
  <c r="F2" i="31"/>
  <c r="I174" i="31"/>
  <c r="J2" i="31"/>
  <c r="L2" i="31" l="1"/>
  <c r="J174" i="31"/>
  <c r="H149" i="31" a="1"/>
  <c r="K2" i="31"/>
  <c r="H117" i="31" a="1"/>
  <c r="H107" i="31" a="1"/>
  <c r="H41" i="31" a="1"/>
  <c r="H73" i="31" a="1"/>
  <c r="H149" i="31" l="1"/>
  <c r="H117" i="31"/>
  <c r="H107" i="31"/>
  <c r="H73" i="31"/>
  <c r="H41" i="31"/>
  <c r="A3" i="31"/>
  <c r="K174" i="31"/>
  <c r="F149" i="31" a="1"/>
  <c r="F107" i="31" a="1"/>
  <c r="F41" i="31" a="1"/>
  <c r="F117" i="31" a="1"/>
  <c r="H3" i="31" a="1"/>
  <c r="E2" i="31" a="1"/>
  <c r="F73" i="31" a="1"/>
  <c r="F73" i="31" l="1"/>
  <c r="E2" i="31"/>
  <c r="F107" i="31"/>
  <c r="H3" i="31"/>
  <c r="F117" i="31"/>
  <c r="F41" i="31"/>
  <c r="F149" i="31"/>
  <c r="I107" i="31"/>
  <c r="F3" i="31" a="1"/>
  <c r="I41" i="31"/>
  <c r="I73" i="31"/>
  <c r="I117" i="31"/>
  <c r="I149" i="31"/>
  <c r="G2" i="31" l="1"/>
  <c r="F3" i="31"/>
  <c r="I3" i="31"/>
  <c r="J107" i="31"/>
  <c r="J41" i="31"/>
  <c r="J149" i="31"/>
  <c r="J73" i="31"/>
  <c r="J117" i="31"/>
  <c r="O2" i="31" a="1"/>
  <c r="O2" i="31" l="1"/>
  <c r="N2" i="31" a="1"/>
  <c r="N2" i="31" s="1"/>
  <c r="L3" i="31"/>
  <c r="K73" i="31"/>
  <c r="K41" i="31"/>
  <c r="K149" i="31"/>
  <c r="K107" i="31"/>
  <c r="J3" i="31"/>
  <c r="M2" i="31" a="1"/>
  <c r="K117" i="31"/>
  <c r="M2" i="31" l="1"/>
  <c r="K3" i="31"/>
  <c r="A4" i="31" l="1"/>
  <c r="H4" i="31" a="1"/>
  <c r="E3" i="31" a="1"/>
  <c r="H4" i="31" l="1"/>
  <c r="E3" i="31"/>
  <c r="G3" i="31" s="1"/>
  <c r="O3" i="31" s="1" a="1"/>
  <c r="O3" i="31" s="1"/>
  <c r="F4" i="31" a="1"/>
  <c r="I4" i="31"/>
  <c r="N3" i="31" l="1" a="1"/>
  <c r="N3" i="31" s="1"/>
  <c r="F4" i="31"/>
  <c r="J4" i="31"/>
  <c r="M3" i="31" a="1"/>
  <c r="L4" i="31" l="1"/>
  <c r="M3" i="31"/>
  <c r="K4" i="31"/>
  <c r="A5" i="31" l="1"/>
  <c r="E4" i="31" a="1"/>
  <c r="H5" i="31" a="1"/>
  <c r="H5" i="31" l="1"/>
  <c r="E4" i="31"/>
  <c r="G4" i="31" s="1"/>
  <c r="F5" i="31" a="1"/>
  <c r="I5" i="31"/>
  <c r="O4" i="31" a="1"/>
  <c r="O4" i="31" l="1"/>
  <c r="N4" i="31" a="1"/>
  <c r="N4" i="31" s="1"/>
  <c r="F5" i="31"/>
  <c r="J5" i="31"/>
  <c r="M4" i="31" a="1"/>
  <c r="L5" i="31" l="1"/>
  <c r="M4" i="31"/>
  <c r="K5" i="31"/>
  <c r="A6" i="31" l="1"/>
  <c r="H6" i="31" a="1"/>
  <c r="E5" i="31" a="1"/>
  <c r="H6" i="31" l="1"/>
  <c r="E5" i="31"/>
  <c r="G5" i="31" s="1"/>
  <c r="F6" i="31" a="1"/>
  <c r="M5" i="31" a="1"/>
  <c r="I6" i="31"/>
  <c r="N5" i="31" l="1" a="1"/>
  <c r="N5" i="31" s="1"/>
  <c r="F6" i="31"/>
  <c r="M5" i="31"/>
  <c r="O5" i="31" a="1"/>
  <c r="J6" i="31"/>
  <c r="L6" i="31" l="1"/>
  <c r="O5" i="31"/>
  <c r="K6" i="31"/>
  <c r="A7" i="31" l="1"/>
  <c r="E6" i="31" a="1"/>
  <c r="E6" i="31" s="1"/>
  <c r="G6" i="31"/>
  <c r="H7" i="31" a="1"/>
  <c r="N6" i="31" a="1"/>
  <c r="H7" i="31" l="1"/>
  <c r="M6" i="31" a="1"/>
  <c r="M6" i="31" s="1"/>
  <c r="N6" i="31"/>
  <c r="I7" i="31"/>
  <c r="O6" i="31" a="1"/>
  <c r="F7" i="31" a="1"/>
  <c r="O6" i="31" l="1"/>
  <c r="F7" i="31"/>
  <c r="L7" i="31" s="1"/>
  <c r="H173" i="31" a="1"/>
  <c r="J7" i="31"/>
  <c r="H173" i="31" l="1"/>
  <c r="F173" i="31" a="1"/>
  <c r="K7" i="31"/>
  <c r="F173" i="31" l="1"/>
  <c r="A8" i="31"/>
  <c r="G7" i="31"/>
  <c r="M7" i="31" s="1" a="1"/>
  <c r="M7" i="31" s="1"/>
  <c r="E7" i="31" a="1"/>
  <c r="E7" i="31" s="1"/>
  <c r="I173" i="31"/>
  <c r="H8" i="31" a="1"/>
  <c r="H8" i="31" l="1"/>
  <c r="F8" i="31" a="1"/>
  <c r="I8" i="31"/>
  <c r="J173" i="31"/>
  <c r="O7" i="31" a="1"/>
  <c r="N7" i="31" a="1"/>
  <c r="O7" i="31" l="1"/>
  <c r="N7" i="31"/>
  <c r="F8" i="31"/>
  <c r="K173" i="31"/>
  <c r="J8" i="31"/>
  <c r="L8" i="31" l="1"/>
  <c r="K8" i="31"/>
  <c r="G8" i="31" l="1"/>
  <c r="M8" i="31" s="1" a="1"/>
  <c r="M8" i="31" s="1"/>
  <c r="E8" i="31" a="1"/>
  <c r="E8" i="31" s="1"/>
  <c r="A9" i="31"/>
  <c r="H9" i="31" a="1"/>
  <c r="H9" i="31" l="1"/>
  <c r="O8" i="31" a="1"/>
  <c r="N8" i="31" a="1"/>
  <c r="F9" i="31" a="1"/>
  <c r="O8" i="31" l="1"/>
  <c r="N8" i="31"/>
  <c r="F9" i="31"/>
  <c r="I9" i="31"/>
  <c r="L9" i="31" l="1"/>
  <c r="J9" i="31"/>
  <c r="K9" i="31"/>
  <c r="A10" i="31" l="1"/>
  <c r="H10" i="31" a="1"/>
  <c r="E9" i="31" a="1"/>
  <c r="E9" i="31" l="1"/>
  <c r="G9" i="31" s="1"/>
  <c r="H10" i="31"/>
  <c r="F10" i="31" a="1"/>
  <c r="F10" i="31" l="1"/>
  <c r="N9" i="31" a="1"/>
  <c r="N9" i="31" s="1"/>
  <c r="O9" i="31" a="1"/>
  <c r="O9" i="31" s="1"/>
  <c r="I10" i="31"/>
  <c r="M9" i="31" a="1"/>
  <c r="M9" i="31" l="1"/>
  <c r="L10" i="31"/>
  <c r="J10" i="31"/>
  <c r="K10" i="31"/>
  <c r="A11" i="31" l="1"/>
  <c r="H11" i="31" a="1"/>
  <c r="E10" i="31" a="1"/>
  <c r="E10" i="31" l="1"/>
  <c r="G10" i="31" s="1"/>
  <c r="H11" i="31"/>
  <c r="F11" i="31" a="1"/>
  <c r="F11" i="31" l="1"/>
  <c r="O10" i="31" a="1"/>
  <c r="O10" i="31" s="1"/>
  <c r="N10" i="31" a="1"/>
  <c r="N10" i="31" s="1"/>
  <c r="I11" i="31"/>
  <c r="M10" i="31" a="1"/>
  <c r="M10" i="31" l="1"/>
  <c r="L11" i="31"/>
  <c r="J11" i="31"/>
  <c r="K11" i="31"/>
  <c r="A12" i="31" l="1"/>
  <c r="H12" i="31" a="1"/>
  <c r="E11" i="31" a="1"/>
  <c r="E11" i="31" l="1"/>
  <c r="G11" i="31" s="1"/>
  <c r="H12" i="31"/>
  <c r="F12" i="31" a="1"/>
  <c r="F12" i="31" l="1"/>
  <c r="O11" i="31" a="1"/>
  <c r="O11" i="31" s="1"/>
  <c r="N11" i="31" a="1"/>
  <c r="N11" i="31" s="1"/>
  <c r="I12" i="31"/>
  <c r="M11" i="31" a="1"/>
  <c r="M11" i="31" l="1"/>
  <c r="L12" i="31"/>
  <c r="J12" i="31"/>
  <c r="K12" i="31"/>
  <c r="A13" i="31" l="1"/>
  <c r="H13" i="31" a="1"/>
  <c r="E12" i="31" a="1"/>
  <c r="E12" i="31" l="1"/>
  <c r="G12" i="31" s="1"/>
  <c r="H13" i="31"/>
  <c r="F13" i="31" a="1"/>
  <c r="F13" i="31" l="1"/>
  <c r="O12" i="31" a="1"/>
  <c r="O12" i="31" s="1"/>
  <c r="N12" i="31" a="1"/>
  <c r="N12" i="31" s="1"/>
  <c r="I13" i="31"/>
  <c r="M12" i="31" a="1"/>
  <c r="M12" i="31" l="1"/>
  <c r="L13" i="31"/>
  <c r="J13" i="31"/>
  <c r="K13" i="31"/>
  <c r="A14" i="31" l="1"/>
  <c r="H14" i="31" a="1"/>
  <c r="E13" i="31" a="1"/>
  <c r="E13" i="31" l="1"/>
  <c r="G13" i="31" s="1"/>
  <c r="H14" i="31"/>
  <c r="F14" i="31" a="1"/>
  <c r="F14" i="31" l="1"/>
  <c r="O13" i="31" a="1"/>
  <c r="O13" i="31" s="1"/>
  <c r="N13" i="31" a="1"/>
  <c r="N13" i="31" s="1"/>
  <c r="I14" i="31"/>
  <c r="M13" i="31" a="1"/>
  <c r="M13" i="31" l="1"/>
  <c r="L14" i="31"/>
  <c r="J14" i="31"/>
  <c r="K14" i="31"/>
  <c r="A15" i="31" l="1"/>
  <c r="H15" i="31" a="1"/>
  <c r="E14" i="31" a="1"/>
  <c r="E14" i="31" l="1"/>
  <c r="G14" i="31" s="1"/>
  <c r="H15" i="31"/>
  <c r="F15" i="31" a="1"/>
  <c r="F15" i="31" l="1"/>
  <c r="L15" i="31" s="1"/>
  <c r="N14" i="31" a="1"/>
  <c r="N14" i="31" s="1"/>
  <c r="O14" i="31" a="1"/>
  <c r="I15" i="31"/>
  <c r="M14" i="31" a="1"/>
  <c r="M14" i="31" l="1"/>
  <c r="O14" i="31"/>
  <c r="J15" i="31"/>
  <c r="K15" i="31"/>
  <c r="A16" i="31" l="1"/>
  <c r="H16" i="31" a="1"/>
  <c r="E15" i="31" a="1"/>
  <c r="E15" i="31" l="1"/>
  <c r="G15" i="31" s="1"/>
  <c r="H16" i="31"/>
  <c r="F16" i="31" a="1"/>
  <c r="F16" i="31" l="1"/>
  <c r="L16" i="31" s="1"/>
  <c r="O15" i="31" a="1"/>
  <c r="O15" i="31" s="1"/>
  <c r="N15" i="31" a="1"/>
  <c r="N15" i="31" s="1"/>
  <c r="I16" i="31"/>
  <c r="M15" i="31" a="1"/>
  <c r="M15" i="31" l="1"/>
  <c r="J16" i="31"/>
  <c r="K16" i="31"/>
  <c r="A17" i="31" l="1"/>
  <c r="H17" i="31" a="1"/>
  <c r="E16" i="31" a="1"/>
  <c r="E16" i="31" l="1"/>
  <c r="G16" i="31" s="1"/>
  <c r="H17" i="31"/>
  <c r="F17" i="31" a="1"/>
  <c r="F17" i="31" l="1"/>
  <c r="L17" i="31" s="1"/>
  <c r="N16" i="31" a="1"/>
  <c r="N16" i="31" s="1"/>
  <c r="I17" i="31"/>
  <c r="M16" i="31" a="1"/>
  <c r="O16" i="31" a="1"/>
  <c r="O16" i="31" l="1"/>
  <c r="M16" i="31"/>
  <c r="J17" i="31"/>
  <c r="K17" i="31"/>
  <c r="A18" i="31" l="1"/>
  <c r="H18" i="31" a="1"/>
  <c r="E17" i="31" a="1"/>
  <c r="E17" i="31" l="1"/>
  <c r="G17" i="31" s="1"/>
  <c r="H18" i="31"/>
  <c r="F18" i="31" a="1"/>
  <c r="F18" i="31" l="1"/>
  <c r="L18" i="31" s="1"/>
  <c r="N17" i="31" a="1"/>
  <c r="N17" i="31" s="1"/>
  <c r="O17" i="31" a="1"/>
  <c r="O17" i="31" s="1"/>
  <c r="I18" i="31"/>
  <c r="M17" i="31" a="1"/>
  <c r="M17" i="31" l="1"/>
  <c r="J18" i="31"/>
  <c r="K18" i="31"/>
  <c r="A19" i="31" l="1"/>
  <c r="H19" i="31" a="1"/>
  <c r="E18" i="31" a="1"/>
  <c r="E18" i="31" l="1"/>
  <c r="G18" i="31" s="1"/>
  <c r="H19" i="31"/>
  <c r="F19" i="31" a="1"/>
  <c r="F19" i="31" l="1"/>
  <c r="L19" i="31" s="1"/>
  <c r="N18" i="31" a="1"/>
  <c r="N18" i="31" s="1"/>
  <c r="I19" i="31"/>
  <c r="M18" i="31" a="1"/>
  <c r="O18" i="31" a="1"/>
  <c r="O18" i="31" l="1"/>
  <c r="M18" i="31"/>
  <c r="J19" i="31"/>
  <c r="K19" i="31"/>
  <c r="G19" i="31" l="1"/>
  <c r="A20" i="31"/>
  <c r="E19" i="31" a="1"/>
  <c r="E19" i="31" s="1"/>
  <c r="H20" i="31" a="1"/>
  <c r="H20" i="31" l="1"/>
  <c r="M19" i="31" a="1"/>
  <c r="M19" i="31" s="1"/>
  <c r="F20" i="31" a="1"/>
  <c r="N19" i="31" a="1"/>
  <c r="O19" i="31" a="1"/>
  <c r="O19" i="31" l="1"/>
  <c r="N19" i="31"/>
  <c r="F20" i="31"/>
  <c r="L20" i="31" s="1"/>
  <c r="I20" i="31"/>
  <c r="J20" i="31"/>
  <c r="K20" i="31"/>
  <c r="A21" i="31" l="1"/>
  <c r="H21" i="31" a="1"/>
  <c r="E20" i="31" a="1"/>
  <c r="E20" i="31" l="1"/>
  <c r="G20" i="31" s="1"/>
  <c r="H21" i="31"/>
  <c r="F21" i="31" a="1"/>
  <c r="F21" i="31" l="1"/>
  <c r="L21" i="31" s="1"/>
  <c r="N20" i="31" a="1"/>
  <c r="N20" i="31" s="1"/>
  <c r="I21" i="31"/>
  <c r="M20" i="31" a="1"/>
  <c r="O20" i="31" a="1"/>
  <c r="O20" i="31" l="1"/>
  <c r="M20" i="31"/>
  <c r="J21" i="31"/>
  <c r="K21" i="31"/>
  <c r="A22" i="31" l="1"/>
  <c r="H22" i="31" a="1"/>
  <c r="E21" i="31" a="1"/>
  <c r="E21" i="31" l="1"/>
  <c r="G21" i="31" s="1"/>
  <c r="H22" i="31"/>
  <c r="F22" i="31" a="1"/>
  <c r="F22" i="31" l="1"/>
  <c r="L22" i="31" s="1"/>
  <c r="N21" i="31" a="1"/>
  <c r="N21" i="31" s="1"/>
  <c r="I22" i="31"/>
  <c r="M21" i="31" a="1"/>
  <c r="O21" i="31" a="1"/>
  <c r="O21" i="31" l="1"/>
  <c r="M21" i="31"/>
  <c r="J22" i="31"/>
  <c r="K22" i="31"/>
  <c r="A23" i="31" l="1"/>
  <c r="H23" i="31" a="1"/>
  <c r="E22" i="31" a="1"/>
  <c r="E22" i="31" l="1"/>
  <c r="G22" i="31" s="1"/>
  <c r="H23" i="31"/>
  <c r="F23" i="31" a="1"/>
  <c r="F23" i="31" l="1"/>
  <c r="O22" i="31" a="1"/>
  <c r="O22" i="31" s="1"/>
  <c r="N22" i="31" a="1"/>
  <c r="N22" i="31" s="1"/>
  <c r="O23" i="31" a="1"/>
  <c r="I23" i="31"/>
  <c r="M22" i="31" a="1"/>
  <c r="M22" i="31" l="1"/>
  <c r="O23" i="31"/>
  <c r="L23" i="31"/>
  <c r="J23" i="31"/>
  <c r="K23" i="31"/>
  <c r="A24" i="31" l="1"/>
  <c r="H24" i="31" a="1"/>
  <c r="E23" i="31" a="1"/>
  <c r="E23" i="31" l="1"/>
  <c r="H24" i="31"/>
  <c r="M23" i="31" a="1"/>
  <c r="F24" i="31" a="1"/>
  <c r="F24" i="31" l="1"/>
  <c r="L24" i="31" s="1"/>
  <c r="M23" i="31"/>
  <c r="I24" i="31"/>
  <c r="J24" i="31"/>
  <c r="K24" i="31"/>
  <c r="A25" i="31" l="1"/>
  <c r="H25" i="31" a="1"/>
  <c r="E24" i="31" a="1"/>
  <c r="E24" i="31" l="1"/>
  <c r="G24" i="31" s="1"/>
  <c r="H25" i="31"/>
  <c r="F25" i="31" a="1"/>
  <c r="F25" i="31" l="1"/>
  <c r="L25" i="31" s="1"/>
  <c r="O24" i="31" a="1"/>
  <c r="O24" i="31" s="1"/>
  <c r="N24" i="31" a="1"/>
  <c r="N24" i="31" s="1"/>
  <c r="I25" i="31"/>
  <c r="M24" i="31" a="1"/>
  <c r="M24" i="31" l="1"/>
  <c r="J25" i="31"/>
  <c r="K25" i="31"/>
  <c r="A26" i="31" l="1"/>
  <c r="H26" i="31" a="1"/>
  <c r="E25" i="31" a="1"/>
  <c r="E25" i="31" l="1"/>
  <c r="G25" i="31" s="1"/>
  <c r="H26" i="31"/>
  <c r="F26" i="31" a="1"/>
  <c r="F26" i="31" l="1"/>
  <c r="L26" i="31" s="1"/>
  <c r="N25" i="31" a="1"/>
  <c r="N25" i="31" s="1"/>
  <c r="I26" i="31"/>
  <c r="O25" i="31" a="1"/>
  <c r="M25" i="31" a="1"/>
  <c r="M25" i="31" l="1"/>
  <c r="O25" i="31"/>
  <c r="J26" i="31"/>
  <c r="K26" i="31"/>
  <c r="A27" i="31" l="1"/>
  <c r="H27" i="31" a="1"/>
  <c r="E26" i="31" a="1"/>
  <c r="E26" i="31" l="1"/>
  <c r="G26" i="31" s="1"/>
  <c r="H27" i="31"/>
  <c r="F27" i="31" a="1"/>
  <c r="F27" i="31" l="1"/>
  <c r="L27" i="31" s="1"/>
  <c r="N26" i="31" a="1"/>
  <c r="N26" i="31" s="1"/>
  <c r="I27" i="31"/>
  <c r="O26" i="31" a="1"/>
  <c r="M26" i="31" a="1"/>
  <c r="M26" i="31" l="1"/>
  <c r="O26" i="31"/>
  <c r="J27" i="31"/>
  <c r="K27" i="31"/>
  <c r="A28" i="31" l="1"/>
  <c r="H28" i="31" a="1"/>
  <c r="E27" i="31" a="1"/>
  <c r="E27" i="31" l="1"/>
  <c r="G27" i="31" s="1"/>
  <c r="H28" i="31"/>
  <c r="F28" i="31" a="1"/>
  <c r="F28" i="31" l="1"/>
  <c r="L28" i="31" s="1"/>
  <c r="N27" i="31" a="1"/>
  <c r="N27" i="31" s="1"/>
  <c r="I28" i="31"/>
  <c r="M27" i="31" a="1"/>
  <c r="O27" i="31" a="1"/>
  <c r="O27" i="31" l="1"/>
  <c r="M27" i="31"/>
  <c r="J28" i="31"/>
  <c r="K28" i="31"/>
  <c r="A29" i="31" l="1"/>
  <c r="H29" i="31" a="1"/>
  <c r="E28" i="31" a="1"/>
  <c r="E28" i="31" l="1"/>
  <c r="G28" i="31" s="1"/>
  <c r="H29" i="31"/>
  <c r="F29" i="31" a="1"/>
  <c r="F29" i="31" l="1"/>
  <c r="L29" i="31" s="1"/>
  <c r="O28" i="31" a="1"/>
  <c r="O28" i="31" s="1"/>
  <c r="N28" i="31" a="1"/>
  <c r="N28" i="31" s="1"/>
  <c r="I29" i="31"/>
  <c r="M28" i="31" a="1"/>
  <c r="M28" i="31" l="1"/>
  <c r="J29" i="31"/>
  <c r="K29" i="31"/>
  <c r="A30" i="31" l="1"/>
  <c r="H30" i="31" a="1"/>
  <c r="E29" i="31" a="1"/>
  <c r="E29" i="31" l="1"/>
  <c r="G29" i="31" s="1"/>
  <c r="H30" i="31"/>
  <c r="F30" i="31" a="1"/>
  <c r="F30" i="31" l="1"/>
  <c r="L30" i="31" s="1"/>
  <c r="N29" i="31" a="1"/>
  <c r="N29" i="31" s="1"/>
  <c r="I30" i="31"/>
  <c r="O29" i="31" a="1"/>
  <c r="M29" i="31" a="1"/>
  <c r="M29" i="31" l="1"/>
  <c r="O29" i="31"/>
  <c r="J30" i="31"/>
  <c r="K30" i="31"/>
  <c r="A31" i="31" l="1"/>
  <c r="H31" i="31" a="1"/>
  <c r="E30" i="31" a="1"/>
  <c r="E30" i="31" l="1"/>
  <c r="G30" i="31" s="1"/>
  <c r="H31" i="31"/>
  <c r="F31" i="31" a="1"/>
  <c r="F31" i="31" l="1"/>
  <c r="L31" i="31" s="1"/>
  <c r="N30" i="31" a="1"/>
  <c r="N30" i="31" s="1"/>
  <c r="O30" i="31" a="1"/>
  <c r="O30" i="31" s="1"/>
  <c r="I31" i="31"/>
  <c r="M30" i="31" a="1"/>
  <c r="M30" i="31" l="1"/>
  <c r="J31" i="31"/>
  <c r="K31" i="31"/>
  <c r="A32" i="31" l="1"/>
  <c r="H32" i="31" a="1"/>
  <c r="E31" i="31" a="1"/>
  <c r="E31" i="31" l="1"/>
  <c r="G31" i="31" s="1"/>
  <c r="H32" i="31"/>
  <c r="F32" i="31" a="1"/>
  <c r="F32" i="31" l="1"/>
  <c r="L32" i="31" s="1"/>
  <c r="O31" i="31" a="1"/>
  <c r="O31" i="31" s="1"/>
  <c r="N31" i="31" a="1"/>
  <c r="N31" i="31" s="1"/>
  <c r="I32" i="31"/>
  <c r="M31" i="31" a="1"/>
  <c r="M31" i="31" l="1"/>
  <c r="J32" i="31"/>
  <c r="K32" i="31"/>
  <c r="A33" i="31" l="1"/>
  <c r="G32" i="31"/>
  <c r="E32" i="31" a="1"/>
  <c r="E32" i="31" s="1"/>
  <c r="H33" i="31" a="1"/>
  <c r="H33" i="31" l="1"/>
  <c r="M32" i="31" a="1"/>
  <c r="M32" i="31" s="1"/>
  <c r="F33" i="31" a="1"/>
  <c r="N32" i="31" a="1"/>
  <c r="O32" i="31" a="1"/>
  <c r="O32" i="31" l="1"/>
  <c r="N32" i="31"/>
  <c r="F33" i="31"/>
  <c r="L33" i="31" s="1"/>
  <c r="I33" i="31"/>
  <c r="J33" i="31"/>
  <c r="K33" i="31"/>
  <c r="A34" i="31" l="1"/>
  <c r="H34" i="31" a="1"/>
  <c r="E33" i="31" a="1"/>
  <c r="E33" i="31" l="1"/>
  <c r="G33" i="31" s="1"/>
  <c r="H34" i="31"/>
  <c r="F34" i="31" a="1"/>
  <c r="F34" i="31" l="1"/>
  <c r="L34" i="31" s="1"/>
  <c r="N33" i="31" a="1"/>
  <c r="N33" i="31" s="1"/>
  <c r="O33" i="31" a="1"/>
  <c r="O33" i="31" s="1"/>
  <c r="I34" i="31"/>
  <c r="M33" i="31" a="1"/>
  <c r="M33" i="31" l="1"/>
  <c r="J34" i="31"/>
  <c r="K34" i="31"/>
  <c r="A35" i="31" l="1"/>
  <c r="H35" i="31" a="1"/>
  <c r="E34" i="31" a="1"/>
  <c r="E34" i="31" l="1"/>
  <c r="G34" i="31" s="1"/>
  <c r="H35" i="31"/>
  <c r="F35" i="31" a="1"/>
  <c r="F35" i="31" l="1"/>
  <c r="L35" i="31" s="1"/>
  <c r="N34" i="31" a="1"/>
  <c r="N34" i="31" s="1"/>
  <c r="I35" i="31"/>
  <c r="M34" i="31" a="1"/>
  <c r="O34" i="31" a="1"/>
  <c r="O34" i="31" l="1"/>
  <c r="M34" i="31"/>
  <c r="J35" i="31"/>
  <c r="K35" i="31"/>
  <c r="A36" i="31" l="1"/>
  <c r="H36" i="31" a="1"/>
  <c r="E35" i="31" a="1"/>
  <c r="E35" i="31" l="1"/>
  <c r="G35" i="31" s="1"/>
  <c r="H36" i="31"/>
  <c r="F36" i="31" a="1"/>
  <c r="F36" i="31" l="1"/>
  <c r="L36" i="31" s="1"/>
  <c r="N35" i="31" a="1"/>
  <c r="N35" i="31" s="1"/>
  <c r="O35" i="31" a="1"/>
  <c r="I36" i="31"/>
  <c r="M35" i="31" a="1"/>
  <c r="M35" i="31" l="1"/>
  <c r="O35" i="31"/>
  <c r="J36" i="31"/>
  <c r="K36" i="31"/>
  <c r="A37" i="31" l="1"/>
  <c r="H37" i="31" a="1"/>
  <c r="E36" i="31" a="1"/>
  <c r="E36" i="31" l="1"/>
  <c r="G36" i="31" s="1"/>
  <c r="H37" i="31"/>
  <c r="F37" i="31" a="1"/>
  <c r="F37" i="31" l="1"/>
  <c r="L37" i="31" s="1"/>
  <c r="O36" i="31" a="1"/>
  <c r="O36" i="31" s="1"/>
  <c r="N36" i="31" a="1"/>
  <c r="N36" i="31" s="1"/>
  <c r="I37" i="31"/>
  <c r="M36" i="31" a="1"/>
  <c r="M36" i="31" l="1"/>
  <c r="J37" i="31"/>
  <c r="K37" i="31"/>
  <c r="A38" i="31" l="1"/>
  <c r="H38" i="31" a="1"/>
  <c r="E37" i="31" a="1"/>
  <c r="E37" i="31" l="1"/>
  <c r="G37" i="31" s="1"/>
  <c r="H38" i="31"/>
  <c r="F38" i="31" a="1"/>
  <c r="F38" i="31" l="1"/>
  <c r="L38" i="31" s="1"/>
  <c r="N37" i="31" a="1"/>
  <c r="N37" i="31" s="1"/>
  <c r="O37" i="31" a="1"/>
  <c r="O37" i="31" s="1"/>
  <c r="I38" i="31"/>
  <c r="M37" i="31" a="1"/>
  <c r="M37" i="31" l="1"/>
  <c r="J38" i="31"/>
  <c r="K38" i="31"/>
  <c r="A39" i="31" l="1"/>
  <c r="H39" i="31" a="1"/>
  <c r="E38" i="31" a="1"/>
  <c r="E38" i="31" l="1"/>
  <c r="G38" i="31" s="1"/>
  <c r="H39" i="31"/>
  <c r="F39" i="31" a="1"/>
  <c r="F39" i="31" l="1"/>
  <c r="N38" i="31" a="1"/>
  <c r="N38" i="31" s="1"/>
  <c r="I39" i="31"/>
  <c r="O39" i="31" a="1"/>
  <c r="M38" i="31" a="1"/>
  <c r="O38" i="31" a="1"/>
  <c r="O38" i="31" l="1"/>
  <c r="M38" i="31"/>
  <c r="O39" i="31"/>
  <c r="L39" i="31"/>
  <c r="J39" i="31"/>
  <c r="K39" i="31"/>
  <c r="A40" i="31" l="1"/>
  <c r="H40" i="31" a="1"/>
  <c r="E39" i="31" a="1"/>
  <c r="E39" i="31" l="1"/>
  <c r="H40" i="31"/>
  <c r="M39" i="31" a="1"/>
  <c r="F40" i="31" a="1"/>
  <c r="F40" i="31" l="1"/>
  <c r="M39" i="31"/>
  <c r="I40" i="31"/>
  <c r="L40" i="31" l="1"/>
  <c r="L41" i="31"/>
  <c r="J40" i="31"/>
  <c r="E41" i="31" a="1"/>
  <c r="E41" i="31" l="1"/>
  <c r="G41" i="31" s="1"/>
  <c r="A42" i="31"/>
  <c r="K40" i="31"/>
  <c r="H42" i="31" a="1"/>
  <c r="H42" i="31" l="1"/>
  <c r="N41" i="31" a="1"/>
  <c r="N41" i="31" s="1"/>
  <c r="F42" i="31" a="1"/>
  <c r="M41" i="31" a="1"/>
  <c r="E40" i="31" a="1"/>
  <c r="O41" i="31" a="1"/>
  <c r="O41" i="31" l="1"/>
  <c r="E40" i="31"/>
  <c r="G40" i="31" s="1"/>
  <c r="M41" i="31"/>
  <c r="F42" i="31"/>
  <c r="L42" i="31" s="1"/>
  <c r="I42" i="31"/>
  <c r="N40" i="31" l="1" a="1"/>
  <c r="N40" i="31" s="1"/>
  <c r="O40" i="31" a="1"/>
  <c r="O40" i="31" s="1"/>
  <c r="J42" i="31"/>
  <c r="M40" i="31" a="1"/>
  <c r="M40" i="31" l="1"/>
  <c r="K42" i="31"/>
  <c r="A43" i="31" l="1"/>
  <c r="H43" i="31" a="1"/>
  <c r="E42" i="31" a="1"/>
  <c r="E42" i="31" l="1"/>
  <c r="G42" i="31" s="1"/>
  <c r="H43" i="31"/>
  <c r="F43" i="31" a="1"/>
  <c r="F43" i="31" l="1"/>
  <c r="L43" i="31" s="1"/>
  <c r="N42" i="31" a="1"/>
  <c r="N42" i="31" s="1"/>
  <c r="I43" i="31"/>
  <c r="O42" i="31" a="1"/>
  <c r="M42" i="31" a="1"/>
  <c r="M42" i="31" l="1"/>
  <c r="O42" i="31"/>
  <c r="J43" i="31"/>
  <c r="K43" i="31"/>
  <c r="A44" i="31" l="1"/>
  <c r="H44" i="31" a="1"/>
  <c r="E43" i="31" a="1"/>
  <c r="E43" i="31" l="1"/>
  <c r="G43" i="31" s="1"/>
  <c r="H44" i="31"/>
  <c r="F44" i="31" a="1"/>
  <c r="F44" i="31" l="1"/>
  <c r="L44" i="31" s="1"/>
  <c r="N43" i="31" a="1"/>
  <c r="N43" i="31" s="1"/>
  <c r="O43" i="31" a="1"/>
  <c r="O43" i="31" s="1"/>
  <c r="I44" i="31"/>
  <c r="M43" i="31" a="1"/>
  <c r="M43" i="31" l="1"/>
  <c r="J44" i="31"/>
  <c r="K44" i="31"/>
  <c r="A45" i="31" l="1"/>
  <c r="H45" i="31" a="1"/>
  <c r="E44" i="31" a="1"/>
  <c r="E44" i="31" l="1"/>
  <c r="G44" i="31" s="1"/>
  <c r="H45" i="31"/>
  <c r="F45" i="31" a="1"/>
  <c r="F45" i="31" l="1"/>
  <c r="L45" i="31" s="1"/>
  <c r="O44" i="31" a="1"/>
  <c r="O44" i="31" s="1"/>
  <c r="N44" i="31" a="1"/>
  <c r="N44" i="31" s="1"/>
  <c r="I45" i="31"/>
  <c r="M44" i="31" a="1"/>
  <c r="M44" i="31" l="1"/>
  <c r="J45" i="31"/>
  <c r="K45" i="31"/>
  <c r="A46" i="31" l="1"/>
  <c r="H46" i="31" a="1"/>
  <c r="E45" i="31" a="1"/>
  <c r="E45" i="31" l="1"/>
  <c r="G45" i="31" s="1"/>
  <c r="H46" i="31"/>
  <c r="F46" i="31" a="1"/>
  <c r="F46" i="31" l="1"/>
  <c r="L46" i="31" s="1"/>
  <c r="N45" i="31" a="1"/>
  <c r="N45" i="31" s="1"/>
  <c r="I46" i="31"/>
  <c r="O45" i="31" a="1"/>
  <c r="M45" i="31" a="1"/>
  <c r="M45" i="31" l="1"/>
  <c r="O45" i="31"/>
  <c r="J46" i="31"/>
  <c r="K46" i="31"/>
  <c r="A47" i="31" l="1"/>
  <c r="H47" i="31" a="1"/>
  <c r="E46" i="31" a="1"/>
  <c r="E46" i="31" l="1"/>
  <c r="G46" i="31" s="1"/>
  <c r="H47" i="31"/>
  <c r="F47" i="31" a="1"/>
  <c r="F47" i="31" l="1"/>
  <c r="L47" i="31" s="1"/>
  <c r="N46" i="31" a="1"/>
  <c r="N46" i="31" s="1"/>
  <c r="O46" i="31" a="1"/>
  <c r="O46" i="31" s="1"/>
  <c r="I47" i="31"/>
  <c r="M46" i="31" a="1"/>
  <c r="M46" i="31" l="1"/>
  <c r="J47" i="31"/>
  <c r="K47" i="31"/>
  <c r="A48" i="31" l="1"/>
  <c r="H48" i="31" a="1"/>
  <c r="E47" i="31" a="1"/>
  <c r="E47" i="31" l="1"/>
  <c r="G47" i="31" s="1"/>
  <c r="H48" i="31"/>
  <c r="F48" i="31" a="1"/>
  <c r="F48" i="31" l="1"/>
  <c r="L48" i="31" s="1"/>
  <c r="N47" i="31" a="1"/>
  <c r="N47" i="31" s="1"/>
  <c r="O47" i="31" a="1"/>
  <c r="O47" i="31" s="1"/>
  <c r="I48" i="31"/>
  <c r="M47" i="31" a="1"/>
  <c r="M47" i="31" l="1"/>
  <c r="J48" i="31"/>
  <c r="K48" i="31"/>
  <c r="A49" i="31" l="1"/>
  <c r="H49" i="31" a="1"/>
  <c r="E48" i="31" a="1"/>
  <c r="E48" i="31" l="1"/>
  <c r="G48" i="31" s="1"/>
  <c r="H49" i="31"/>
  <c r="F49" i="31" a="1"/>
  <c r="F49" i="31" l="1"/>
  <c r="L49" i="31" s="1"/>
  <c r="N48" i="31" a="1"/>
  <c r="N48" i="31" s="1"/>
  <c r="I49" i="31"/>
  <c r="O48" i="31" a="1"/>
  <c r="M48" i="31" a="1"/>
  <c r="M48" i="31" l="1"/>
  <c r="O48" i="31"/>
  <c r="J49" i="31"/>
  <c r="K49" i="31"/>
  <c r="A50" i="31" l="1"/>
  <c r="H50" i="31" a="1"/>
  <c r="E49" i="31" a="1"/>
  <c r="E49" i="31" l="1"/>
  <c r="G49" i="31" s="1"/>
  <c r="H50" i="31"/>
  <c r="F50" i="31" a="1"/>
  <c r="F50" i="31" l="1"/>
  <c r="L50" i="31" s="1"/>
  <c r="N49" i="31" a="1"/>
  <c r="N49" i="31" s="1"/>
  <c r="O49" i="31" a="1"/>
  <c r="O49" i="31" s="1"/>
  <c r="I50" i="31"/>
  <c r="M49" i="31" a="1"/>
  <c r="M49" i="31" l="1"/>
  <c r="J50" i="31"/>
  <c r="K50" i="31"/>
  <c r="A51" i="31" l="1"/>
  <c r="H51" i="31" a="1"/>
  <c r="E50" i="31" a="1"/>
  <c r="E50" i="31" l="1"/>
  <c r="G50" i="31" s="1"/>
  <c r="H51" i="31"/>
  <c r="F51" i="31" a="1"/>
  <c r="F51" i="31" l="1"/>
  <c r="L51" i="31" s="1"/>
  <c r="N50" i="31" a="1"/>
  <c r="N50" i="31" s="1"/>
  <c r="M50" i="31" a="1"/>
  <c r="I51" i="31"/>
  <c r="O50" i="31" a="1"/>
  <c r="O50" i="31" l="1"/>
  <c r="M50" i="31"/>
  <c r="J51" i="31"/>
  <c r="K51" i="31"/>
  <c r="A52" i="31" l="1"/>
  <c r="H52" i="31" a="1"/>
  <c r="E51" i="31" a="1"/>
  <c r="E51" i="31" l="1"/>
  <c r="G51" i="31" s="1"/>
  <c r="H52" i="31"/>
  <c r="F52" i="31" a="1"/>
  <c r="F52" i="31" l="1"/>
  <c r="L52" i="31" s="1"/>
  <c r="N51" i="31" a="1"/>
  <c r="N51" i="31" s="1"/>
  <c r="O51" i="31" a="1"/>
  <c r="O51" i="31" s="1"/>
  <c r="M51" i="31" a="1"/>
  <c r="I52" i="31"/>
  <c r="M51" i="31" l="1"/>
  <c r="J52" i="31"/>
  <c r="K52" i="31"/>
  <c r="A53" i="31" l="1"/>
  <c r="H53" i="31" a="1"/>
  <c r="E52" i="31" a="1"/>
  <c r="E52" i="31" l="1"/>
  <c r="G52" i="31" s="1"/>
  <c r="H53" i="31"/>
  <c r="F53" i="31" a="1"/>
  <c r="F53" i="31" l="1"/>
  <c r="N52" i="31" a="1"/>
  <c r="N52" i="31" s="1"/>
  <c r="O53" i="31" a="1"/>
  <c r="M52" i="31" a="1"/>
  <c r="I53" i="31"/>
  <c r="O52" i="31" a="1"/>
  <c r="O52" i="31" l="1"/>
  <c r="M52" i="31"/>
  <c r="O53" i="31"/>
  <c r="L53" i="31"/>
  <c r="J53" i="31"/>
  <c r="K53" i="31"/>
  <c r="A54" i="31" l="1"/>
  <c r="H54" i="31" a="1"/>
  <c r="E53" i="31" a="1"/>
  <c r="E53" i="31" l="1"/>
  <c r="H54" i="31"/>
  <c r="M53" i="31" a="1"/>
  <c r="F54" i="31" a="1"/>
  <c r="F54" i="31" l="1"/>
  <c r="L54" i="31" s="1"/>
  <c r="M53" i="31"/>
  <c r="I54" i="31"/>
  <c r="J54" i="31"/>
  <c r="K54" i="31"/>
  <c r="A55" i="31" l="1"/>
  <c r="H55" i="31" a="1"/>
  <c r="E54" i="31" a="1"/>
  <c r="E54" i="31" l="1"/>
  <c r="G54" i="31" s="1"/>
  <c r="H55" i="31"/>
  <c r="F55" i="31" a="1"/>
  <c r="F55" i="31" l="1"/>
  <c r="L55" i="31" s="1"/>
  <c r="N54" i="31" a="1"/>
  <c r="N54" i="31" s="1"/>
  <c r="O54" i="31" a="1"/>
  <c r="O54" i="31" s="1"/>
  <c r="I55" i="31"/>
  <c r="M54" i="31" a="1"/>
  <c r="M54" i="31" l="1"/>
  <c r="J55" i="31"/>
  <c r="K55" i="31"/>
  <c r="A56" i="31" l="1"/>
  <c r="H56" i="31" a="1"/>
  <c r="E55" i="31" a="1"/>
  <c r="E55" i="31" l="1"/>
  <c r="G55" i="31" s="1"/>
  <c r="H56" i="31"/>
  <c r="F56" i="31" a="1"/>
  <c r="F56" i="31" l="1"/>
  <c r="L56" i="31" s="1"/>
  <c r="O55" i="31" a="1"/>
  <c r="O55" i="31" s="1"/>
  <c r="N55" i="31" a="1"/>
  <c r="N55" i="31" s="1"/>
  <c r="I56" i="31"/>
  <c r="M55" i="31" a="1"/>
  <c r="M55" i="31" l="1"/>
  <c r="J56" i="31"/>
  <c r="K56" i="31"/>
  <c r="A57" i="31" l="1"/>
  <c r="H57" i="31" a="1"/>
  <c r="E56" i="31" a="1"/>
  <c r="E56" i="31" l="1"/>
  <c r="G56" i="31" s="1"/>
  <c r="H57" i="31"/>
  <c r="F57" i="31" a="1"/>
  <c r="F57" i="31" l="1"/>
  <c r="L57" i="31" s="1"/>
  <c r="N56" i="31" a="1"/>
  <c r="N56" i="31" s="1"/>
  <c r="I57" i="31"/>
  <c r="M56" i="31" a="1"/>
  <c r="O56" i="31" a="1"/>
  <c r="O56" i="31" l="1"/>
  <c r="M56" i="31"/>
  <c r="J57" i="31"/>
  <c r="K57" i="31"/>
  <c r="A58" i="31" l="1"/>
  <c r="H58" i="31" a="1"/>
  <c r="E57" i="31" a="1"/>
  <c r="E57" i="31" l="1"/>
  <c r="G57" i="31" s="1"/>
  <c r="H58" i="31"/>
  <c r="F58" i="31" a="1"/>
  <c r="F58" i="31" l="1"/>
  <c r="L58" i="31" s="1"/>
  <c r="N57" i="31" a="1"/>
  <c r="N57" i="31" s="1"/>
  <c r="I58" i="31"/>
  <c r="M57" i="31" a="1"/>
  <c r="O57" i="31" a="1"/>
  <c r="O57" i="31" l="1"/>
  <c r="M57" i="31"/>
  <c r="J58" i="31"/>
  <c r="K58" i="31"/>
  <c r="A59" i="31" l="1"/>
  <c r="E58" i="31" a="1"/>
  <c r="E58" i="31" s="1"/>
  <c r="G58" i="31" s="1"/>
  <c r="H59" i="31" a="1"/>
  <c r="H59" i="31" l="1"/>
  <c r="M58" i="31" a="1"/>
  <c r="M58" i="31" s="1"/>
  <c r="F59" i="31" a="1"/>
  <c r="O58" i="31" a="1"/>
  <c r="N58" i="31" a="1"/>
  <c r="N58" i="31" l="1"/>
  <c r="O58" i="31"/>
  <c r="F59" i="31"/>
  <c r="L59" i="31" s="1"/>
  <c r="I59" i="31"/>
  <c r="J59" i="31"/>
  <c r="K59" i="31"/>
  <c r="A60" i="31" l="1"/>
  <c r="H60" i="31" a="1"/>
  <c r="E59" i="31" a="1"/>
  <c r="E59" i="31" l="1"/>
  <c r="G59" i="31" s="1"/>
  <c r="H60" i="31"/>
  <c r="F60" i="31" a="1"/>
  <c r="F60" i="31" l="1"/>
  <c r="L60" i="31" s="1"/>
  <c r="N59" i="31" a="1"/>
  <c r="N59" i="31" s="1"/>
  <c r="O59" i="31" a="1"/>
  <c r="I60" i="31"/>
  <c r="M59" i="31" a="1"/>
  <c r="M59" i="31" l="1"/>
  <c r="O59" i="31"/>
  <c r="J60" i="31"/>
  <c r="K60" i="31"/>
  <c r="E60" i="31" l="1" a="1"/>
  <c r="E60" i="31" s="1"/>
  <c r="A61" i="31"/>
  <c r="G60" i="31"/>
  <c r="H61" i="31" a="1"/>
  <c r="H61" i="31" l="1"/>
  <c r="M60" i="31" a="1"/>
  <c r="M60" i="31" s="1"/>
  <c r="F61" i="31" a="1"/>
  <c r="O60" i="31" a="1"/>
  <c r="N60" i="31" a="1"/>
  <c r="N60" i="31" l="1"/>
  <c r="O60" i="31"/>
  <c r="F61" i="31"/>
  <c r="L61" i="31" s="1"/>
  <c r="I61" i="31"/>
  <c r="J61" i="31"/>
  <c r="K61" i="31"/>
  <c r="A62" i="31" l="1"/>
  <c r="E61" i="31" a="1"/>
  <c r="E61" i="31" s="1"/>
  <c r="G61" i="31" s="1"/>
  <c r="H62" i="31" a="1"/>
  <c r="H62" i="31" l="1"/>
  <c r="M61" i="31" a="1"/>
  <c r="M61" i="31" s="1"/>
  <c r="F62" i="31" a="1"/>
  <c r="N61" i="31" a="1"/>
  <c r="O61" i="31" a="1"/>
  <c r="O61" i="31" l="1"/>
  <c r="N61" i="31"/>
  <c r="F62" i="31"/>
  <c r="L62" i="31" s="1"/>
  <c r="I62" i="31"/>
  <c r="J62" i="31"/>
  <c r="K62" i="31"/>
  <c r="A63" i="31" l="1"/>
  <c r="H63" i="31" a="1"/>
  <c r="E62" i="31" a="1"/>
  <c r="E62" i="31" l="1"/>
  <c r="G62" i="31" s="1"/>
  <c r="H63" i="31"/>
  <c r="F63" i="31" a="1"/>
  <c r="F63" i="31" l="1"/>
  <c r="L63" i="31" s="1"/>
  <c r="N62" i="31" a="1"/>
  <c r="N62" i="31" s="1"/>
  <c r="I63" i="31"/>
  <c r="O62" i="31" a="1"/>
  <c r="M62" i="31" a="1"/>
  <c r="M62" i="31" l="1"/>
  <c r="O62" i="31"/>
  <c r="J63" i="31"/>
  <c r="K63" i="31"/>
  <c r="A64" i="31" l="1"/>
  <c r="G63" i="31"/>
  <c r="E63" i="31" a="1"/>
  <c r="E63" i="31" s="1"/>
  <c r="H64" i="31" a="1"/>
  <c r="H64" i="31" l="1"/>
  <c r="M63" i="31" a="1"/>
  <c r="M63" i="31" s="1"/>
  <c r="F64" i="31" a="1"/>
  <c r="N63" i="31" a="1"/>
  <c r="O63" i="31" a="1"/>
  <c r="O63" i="31" l="1"/>
  <c r="N63" i="31"/>
  <c r="F64" i="31"/>
  <c r="L64" i="31" s="1"/>
  <c r="I64" i="31"/>
  <c r="J64" i="31"/>
  <c r="K64" i="31"/>
  <c r="A65" i="31" l="1"/>
  <c r="E64" i="31" a="1"/>
  <c r="E64" i="31" s="1"/>
  <c r="G64" i="31" s="1"/>
  <c r="H65" i="31" a="1"/>
  <c r="H65" i="31" l="1"/>
  <c r="M64" i="31" a="1"/>
  <c r="M64" i="31" s="1"/>
  <c r="F65" i="31" a="1"/>
  <c r="N64" i="31" a="1"/>
  <c r="O64" i="31" a="1"/>
  <c r="O64" i="31" l="1"/>
  <c r="N64" i="31"/>
  <c r="F65" i="31"/>
  <c r="O65" i="31" a="1"/>
  <c r="I65" i="31"/>
  <c r="O65" i="31" l="1"/>
  <c r="L65" i="31"/>
  <c r="J65" i="31"/>
  <c r="K65" i="31"/>
  <c r="A66" i="31" l="1"/>
  <c r="H66" i="31" a="1"/>
  <c r="E65" i="31" a="1"/>
  <c r="E65" i="31" l="1"/>
  <c r="H66" i="31"/>
  <c r="F66" i="31" a="1"/>
  <c r="M65" i="31" a="1"/>
  <c r="M65" i="31" l="1"/>
  <c r="F66" i="31"/>
  <c r="L66" i="31" s="1"/>
  <c r="I66" i="31"/>
  <c r="J66" i="31"/>
  <c r="K66" i="31"/>
  <c r="A67" i="31" l="1"/>
  <c r="H67" i="31" a="1"/>
  <c r="E66" i="31" a="1"/>
  <c r="E66" i="31" l="1"/>
  <c r="G66" i="31" s="1"/>
  <c r="H67" i="31"/>
  <c r="F67" i="31" a="1"/>
  <c r="F67" i="31" l="1"/>
  <c r="L67" i="31" s="1"/>
  <c r="O66" i="31" a="1"/>
  <c r="O66" i="31" s="1"/>
  <c r="N66" i="31" a="1"/>
  <c r="N66" i="31" s="1"/>
  <c r="I67" i="31"/>
  <c r="M66" i="31" a="1"/>
  <c r="M66" i="31" l="1"/>
  <c r="J67" i="31"/>
  <c r="K67" i="31"/>
  <c r="A68" i="31" l="1"/>
  <c r="H68" i="31" a="1"/>
  <c r="E67" i="31" a="1"/>
  <c r="E67" i="31" l="1"/>
  <c r="G67" i="31" s="1"/>
  <c r="H68" i="31"/>
  <c r="F68" i="31" a="1"/>
  <c r="F68" i="31" l="1"/>
  <c r="L68" i="31" s="1"/>
  <c r="N67" i="31" a="1"/>
  <c r="N67" i="31" s="1"/>
  <c r="O67" i="31" a="1"/>
  <c r="O67" i="31" s="1"/>
  <c r="I68" i="31"/>
  <c r="M67" i="31" a="1"/>
  <c r="M67" i="31" l="1"/>
  <c r="J68" i="31"/>
  <c r="K68" i="31"/>
  <c r="A69" i="31" l="1"/>
  <c r="H69" i="31" a="1"/>
  <c r="E68" i="31" a="1"/>
  <c r="E68" i="31" l="1"/>
  <c r="G68" i="31" s="1"/>
  <c r="H69" i="31"/>
  <c r="F69" i="31" a="1"/>
  <c r="F69" i="31" l="1"/>
  <c r="L69" i="31" s="1"/>
  <c r="N68" i="31" a="1"/>
  <c r="N68" i="31" s="1"/>
  <c r="O68" i="31" a="1"/>
  <c r="O68" i="31" s="1"/>
  <c r="M68" i="31" a="1"/>
  <c r="I69" i="31"/>
  <c r="M68" i="31" l="1"/>
  <c r="J69" i="31"/>
  <c r="K69" i="31"/>
  <c r="A70" i="31" l="1"/>
  <c r="H70" i="31" a="1"/>
  <c r="E69" i="31" a="1"/>
  <c r="E69" i="31" l="1"/>
  <c r="G69" i="31" s="1"/>
  <c r="H70" i="31"/>
  <c r="F70" i="31" a="1"/>
  <c r="F70" i="31" l="1"/>
  <c r="L70" i="31" s="1"/>
  <c r="N69" i="31" a="1"/>
  <c r="N69" i="31" s="1"/>
  <c r="I70" i="31"/>
  <c r="O69" i="31" a="1"/>
  <c r="M69" i="31" a="1"/>
  <c r="M69" i="31" l="1"/>
  <c r="O69" i="31"/>
  <c r="J70" i="31"/>
  <c r="K70" i="31"/>
  <c r="A71" i="31" l="1"/>
  <c r="H71" i="31" a="1"/>
  <c r="E70" i="31" a="1"/>
  <c r="E70" i="31" l="1"/>
  <c r="G70" i="31" s="1"/>
  <c r="H71" i="31"/>
  <c r="F71" i="31" a="1"/>
  <c r="F71" i="31" l="1"/>
  <c r="N70" i="31" a="1"/>
  <c r="N70" i="31" s="1"/>
  <c r="O70" i="31" a="1"/>
  <c r="O70" i="31" s="1"/>
  <c r="O71" i="31" a="1"/>
  <c r="M70" i="31" a="1"/>
  <c r="I71" i="31"/>
  <c r="M70" i="31" l="1"/>
  <c r="O71" i="31"/>
  <c r="L71" i="31"/>
  <c r="J71" i="31"/>
  <c r="K71" i="31"/>
  <c r="A72" i="31" l="1"/>
  <c r="H72" i="31" a="1"/>
  <c r="E71" i="31" a="1"/>
  <c r="E71" i="31" l="1"/>
  <c r="H72" i="31"/>
  <c r="M71" i="31" a="1"/>
  <c r="F72" i="31" a="1"/>
  <c r="F72" i="31" l="1"/>
  <c r="M71" i="31"/>
  <c r="I72" i="31"/>
  <c r="L72" i="31" l="1"/>
  <c r="L73" i="31"/>
  <c r="J72" i="31"/>
  <c r="E73" i="31" a="1"/>
  <c r="E73" i="31" l="1"/>
  <c r="G73" i="31" s="1"/>
  <c r="A74" i="31"/>
  <c r="K72" i="31"/>
  <c r="H74" i="31" a="1"/>
  <c r="H74" i="31" l="1"/>
  <c r="N73" i="31" a="1"/>
  <c r="N73" i="31" s="1"/>
  <c r="F74" i="31" a="1"/>
  <c r="O73" i="31" a="1"/>
  <c r="E72" i="31" a="1"/>
  <c r="M73" i="31" a="1"/>
  <c r="M73" i="31" l="1"/>
  <c r="E72" i="31"/>
  <c r="G72" i="31" s="1"/>
  <c r="O73" i="31"/>
  <c r="F74" i="31"/>
  <c r="L74" i="31" s="1"/>
  <c r="I74" i="31"/>
  <c r="N72" i="31" l="1" a="1"/>
  <c r="N72" i="31" s="1"/>
  <c r="O72" i="31" a="1"/>
  <c r="O72" i="31" s="1"/>
  <c r="J74" i="31"/>
  <c r="M72" i="31" a="1"/>
  <c r="M72" i="31" l="1"/>
  <c r="K74" i="31"/>
  <c r="G74" i="31" l="1"/>
  <c r="A75" i="31"/>
  <c r="E74" i="31" a="1"/>
  <c r="E74" i="31" s="1"/>
  <c r="H75" i="31" a="1"/>
  <c r="H75" i="31" l="1"/>
  <c r="M74" i="31" a="1"/>
  <c r="M74" i="31" s="1"/>
  <c r="F75" i="31" a="1"/>
  <c r="O74" i="31" a="1"/>
  <c r="N74" i="31" a="1"/>
  <c r="N74" i="31" l="1"/>
  <c r="O74" i="31"/>
  <c r="F75" i="31"/>
  <c r="L75" i="31" s="1"/>
  <c r="I75" i="31"/>
  <c r="J75" i="31"/>
  <c r="K75" i="31"/>
  <c r="A76" i="31" l="1"/>
  <c r="H76" i="31" a="1"/>
  <c r="E75" i="31" a="1"/>
  <c r="E75" i="31" l="1"/>
  <c r="G75" i="31" s="1"/>
  <c r="H76" i="31"/>
  <c r="F76" i="31" a="1"/>
  <c r="F76" i="31" l="1"/>
  <c r="L76" i="31" s="1"/>
  <c r="N75" i="31" a="1"/>
  <c r="N75" i="31" s="1"/>
  <c r="I76" i="31"/>
  <c r="M75" i="31" a="1"/>
  <c r="O75" i="31" a="1"/>
  <c r="O75" i="31" l="1"/>
  <c r="M75" i="31"/>
  <c r="J76" i="31"/>
  <c r="K76" i="31"/>
  <c r="A77" i="31" l="1"/>
  <c r="H77" i="31" a="1"/>
  <c r="E76" i="31" a="1"/>
  <c r="E76" i="31" l="1"/>
  <c r="G76" i="31" s="1"/>
  <c r="H77" i="31"/>
  <c r="F77" i="31" a="1"/>
  <c r="F77" i="31" l="1"/>
  <c r="L77" i="31" s="1"/>
  <c r="O76" i="31" a="1"/>
  <c r="O76" i="31" s="1"/>
  <c r="N76" i="31" a="1"/>
  <c r="N76" i="31" s="1"/>
  <c r="I77" i="31"/>
  <c r="M76" i="31" a="1"/>
  <c r="M76" i="31" l="1"/>
  <c r="J77" i="31"/>
  <c r="K77" i="31"/>
  <c r="A78" i="31" l="1"/>
  <c r="H78" i="31" a="1"/>
  <c r="E77" i="31" a="1"/>
  <c r="E77" i="31" l="1"/>
  <c r="G77" i="31" s="1"/>
  <c r="H78" i="31"/>
  <c r="F78" i="31" a="1"/>
  <c r="F78" i="31" l="1"/>
  <c r="L78" i="31" s="1"/>
  <c r="N77" i="31" a="1"/>
  <c r="N77" i="31" s="1"/>
  <c r="O77" i="31" a="1"/>
  <c r="O77" i="31" s="1"/>
  <c r="I78" i="31"/>
  <c r="M77" i="31" a="1"/>
  <c r="M77" i="31" l="1"/>
  <c r="J78" i="31"/>
  <c r="K78" i="31"/>
  <c r="A79" i="31" l="1"/>
  <c r="H79" i="31" a="1"/>
  <c r="E78" i="31" a="1"/>
  <c r="E78" i="31" l="1"/>
  <c r="G78" i="31" s="1"/>
  <c r="H79" i="31"/>
  <c r="F79" i="31" a="1"/>
  <c r="F79" i="31" l="1"/>
  <c r="O78" i="31" a="1"/>
  <c r="O78" i="31" s="1"/>
  <c r="N78" i="31" a="1"/>
  <c r="N78" i="31" s="1"/>
  <c r="O79" i="31" a="1"/>
  <c r="M78" i="31" a="1"/>
  <c r="I79" i="31"/>
  <c r="M78" i="31" l="1"/>
  <c r="O79" i="31"/>
  <c r="L79" i="31"/>
  <c r="J79" i="31"/>
  <c r="K79" i="31"/>
  <c r="A80" i="31" l="1"/>
  <c r="H80" i="31" a="1"/>
  <c r="E79" i="31" a="1"/>
  <c r="E79" i="31" l="1"/>
  <c r="H80" i="31"/>
  <c r="M79" i="31" a="1"/>
  <c r="F80" i="31" a="1"/>
  <c r="F80" i="31" l="1"/>
  <c r="L80" i="31" s="1"/>
  <c r="M79" i="31"/>
  <c r="I80" i="31"/>
  <c r="J80" i="31"/>
  <c r="K80" i="31"/>
  <c r="A81" i="31" l="1"/>
  <c r="E80" i="31" a="1"/>
  <c r="H81" i="31" a="1"/>
  <c r="H81" i="31" l="1"/>
  <c r="E80" i="31"/>
  <c r="G80" i="31" s="1"/>
  <c r="F81" i="31" a="1"/>
  <c r="F81" i="31" l="1"/>
  <c r="L81" i="31" s="1"/>
  <c r="O80" i="31" a="1"/>
  <c r="O80" i="31" s="1"/>
  <c r="N80" i="31" a="1"/>
  <c r="N80" i="31" s="1"/>
  <c r="M80" i="31" a="1"/>
  <c r="I81" i="31"/>
  <c r="M80" i="31" l="1"/>
  <c r="J81" i="31"/>
  <c r="K81" i="31"/>
  <c r="A82" i="31" l="1"/>
  <c r="H82" i="31" a="1"/>
  <c r="E81" i="31" a="1"/>
  <c r="E81" i="31" l="1"/>
  <c r="G81" i="31" s="1"/>
  <c r="H82" i="31"/>
  <c r="F82" i="31" a="1"/>
  <c r="F82" i="31" l="1"/>
  <c r="L82" i="31" s="1"/>
  <c r="O81" i="31" a="1"/>
  <c r="O81" i="31" s="1"/>
  <c r="N81" i="31" a="1"/>
  <c r="N81" i="31" s="1"/>
  <c r="I82" i="31"/>
  <c r="M81" i="31" a="1"/>
  <c r="M81" i="31" l="1"/>
  <c r="J82" i="31"/>
  <c r="K82" i="31"/>
  <c r="A83" i="31" l="1"/>
  <c r="E82" i="31" a="1"/>
  <c r="H83" i="31" a="1"/>
  <c r="H83" i="31" l="1"/>
  <c r="E82" i="31"/>
  <c r="G82" i="31" s="1"/>
  <c r="F83" i="31" a="1"/>
  <c r="F83" i="31" l="1"/>
  <c r="L83" i="31" s="1"/>
  <c r="N82" i="31" a="1"/>
  <c r="N82" i="31" s="1"/>
  <c r="O82" i="31" a="1"/>
  <c r="O82" i="31" s="1"/>
  <c r="M82" i="31" a="1"/>
  <c r="I83" i="31"/>
  <c r="M82" i="31" l="1"/>
  <c r="J83" i="31"/>
  <c r="K83" i="31"/>
  <c r="A84" i="31" l="1"/>
  <c r="H84" i="31" a="1"/>
  <c r="E83" i="31" a="1"/>
  <c r="E83" i="31" l="1"/>
  <c r="G83" i="31" s="1"/>
  <c r="H84" i="31"/>
  <c r="F84" i="31" a="1"/>
  <c r="F84" i="31" l="1"/>
  <c r="L84" i="31" s="1"/>
  <c r="N83" i="31" a="1"/>
  <c r="N83" i="31" s="1"/>
  <c r="I84" i="31"/>
  <c r="M83" i="31" a="1"/>
  <c r="O83" i="31" a="1"/>
  <c r="O83" i="31" l="1"/>
  <c r="M83" i="31"/>
  <c r="J84" i="31"/>
  <c r="K84" i="31"/>
  <c r="A85" i="31" l="1"/>
  <c r="H85" i="31" a="1"/>
  <c r="E84" i="31" a="1"/>
  <c r="E84" i="31" l="1"/>
  <c r="G84" i="31" s="1"/>
  <c r="H85" i="31"/>
  <c r="F85" i="31" a="1"/>
  <c r="F85" i="31" l="1"/>
  <c r="L85" i="31" s="1"/>
  <c r="N84" i="31" a="1"/>
  <c r="N84" i="31" s="1"/>
  <c r="I85" i="31"/>
  <c r="O84" i="31" a="1"/>
  <c r="M84" i="31" a="1"/>
  <c r="M84" i="31" l="1"/>
  <c r="O84" i="31"/>
  <c r="J85" i="31"/>
  <c r="K85" i="31"/>
  <c r="A86" i="31" l="1"/>
  <c r="H86" i="31" a="1"/>
  <c r="E85" i="31" a="1"/>
  <c r="E85" i="31" l="1"/>
  <c r="G85" i="31" s="1"/>
  <c r="H86" i="31"/>
  <c r="F86" i="31" a="1"/>
  <c r="F86" i="31" l="1"/>
  <c r="L86" i="31" s="1"/>
  <c r="O85" i="31" a="1"/>
  <c r="O85" i="31" s="1"/>
  <c r="N85" i="31" a="1"/>
  <c r="N85" i="31" s="1"/>
  <c r="I86" i="31"/>
  <c r="M85" i="31" a="1"/>
  <c r="M85" i="31" l="1"/>
  <c r="J86" i="31"/>
  <c r="K86" i="31"/>
  <c r="A87" i="31" l="1"/>
  <c r="H87" i="31" a="1"/>
  <c r="E86" i="31" a="1"/>
  <c r="E86" i="31" l="1"/>
  <c r="G86" i="31" s="1"/>
  <c r="H87" i="31"/>
  <c r="F87" i="31" a="1"/>
  <c r="F87" i="31" l="1"/>
  <c r="L87" i="31" s="1"/>
  <c r="O86" i="31" a="1"/>
  <c r="O86" i="31" s="1"/>
  <c r="N86" i="31" a="1"/>
  <c r="N86" i="31" s="1"/>
  <c r="I87" i="31"/>
  <c r="M86" i="31" a="1"/>
  <c r="M86" i="31" l="1"/>
  <c r="J87" i="31"/>
  <c r="K87" i="31"/>
  <c r="A88" i="31" l="1"/>
  <c r="H88" i="31" a="1"/>
  <c r="E87" i="31" a="1"/>
  <c r="E87" i="31" l="1"/>
  <c r="G87" i="31" s="1"/>
  <c r="H88" i="31"/>
  <c r="F88" i="31" a="1"/>
  <c r="F88" i="31" l="1"/>
  <c r="L88" i="31" s="1"/>
  <c r="N87" i="31" a="1"/>
  <c r="N87" i="31" s="1"/>
  <c r="I88" i="31"/>
  <c r="O87" i="31" a="1"/>
  <c r="M87" i="31" a="1"/>
  <c r="M87" i="31" l="1"/>
  <c r="O87" i="31"/>
  <c r="J88" i="31"/>
  <c r="K88" i="31"/>
  <c r="A89" i="31" l="1"/>
  <c r="H89" i="31" a="1"/>
  <c r="E88" i="31" a="1"/>
  <c r="E88" i="31" l="1"/>
  <c r="G88" i="31" s="1"/>
  <c r="H89" i="31"/>
  <c r="F89" i="31" a="1"/>
  <c r="F89" i="31" l="1"/>
  <c r="L89" i="31" s="1"/>
  <c r="N88" i="31" a="1"/>
  <c r="N88" i="31" s="1"/>
  <c r="I89" i="31"/>
  <c r="O88" i="31" a="1"/>
  <c r="M88" i="31" a="1"/>
  <c r="M88" i="31" l="1"/>
  <c r="O88" i="31"/>
  <c r="J89" i="31"/>
  <c r="K89" i="31"/>
  <c r="A90" i="31" l="1"/>
  <c r="E89" i="31" a="1"/>
  <c r="H90" i="31" a="1"/>
  <c r="H90" i="31" l="1"/>
  <c r="E89" i="31"/>
  <c r="G89" i="31" s="1"/>
  <c r="F90" i="31" a="1"/>
  <c r="F90" i="31" l="1"/>
  <c r="L90" i="31" s="1"/>
  <c r="N89" i="31" a="1"/>
  <c r="N89" i="31" s="1"/>
  <c r="O89" i="31" a="1"/>
  <c r="M89" i="31" a="1"/>
  <c r="I90" i="31"/>
  <c r="M89" i="31" l="1"/>
  <c r="O89" i="31"/>
  <c r="J90" i="31"/>
  <c r="K90" i="31"/>
  <c r="A91" i="31" l="1"/>
  <c r="H91" i="31" a="1"/>
  <c r="E90" i="31" a="1"/>
  <c r="E90" i="31" l="1"/>
  <c r="G90" i="31" s="1"/>
  <c r="H91" i="31"/>
  <c r="F91" i="31" a="1"/>
  <c r="F91" i="31" l="1"/>
  <c r="L91" i="31" s="1"/>
  <c r="N90" i="31" a="1"/>
  <c r="N90" i="31" s="1"/>
  <c r="I91" i="31"/>
  <c r="M90" i="31" a="1"/>
  <c r="O90" i="31" a="1"/>
  <c r="O90" i="31" l="1"/>
  <c r="M90" i="31"/>
  <c r="J91" i="31"/>
  <c r="K91" i="31"/>
  <c r="A92" i="31" l="1"/>
  <c r="H92" i="31" a="1"/>
  <c r="E91" i="31" a="1"/>
  <c r="E91" i="31" l="1"/>
  <c r="G91" i="31" s="1"/>
  <c r="O91" i="31" s="1" a="1"/>
  <c r="O91" i="31" s="1"/>
  <c r="H92" i="31"/>
  <c r="F92" i="31" a="1"/>
  <c r="F92" i="31" l="1"/>
  <c r="L92" i="31" s="1"/>
  <c r="N91" i="31" a="1"/>
  <c r="N91" i="31" s="1"/>
  <c r="I92" i="31"/>
  <c r="M91" i="31" a="1"/>
  <c r="M91" i="31" l="1"/>
  <c r="J92" i="31"/>
  <c r="K92" i="31"/>
  <c r="A93" i="31" l="1"/>
  <c r="H93" i="31" a="1"/>
  <c r="E92" i="31" a="1"/>
  <c r="E92" i="31" l="1"/>
  <c r="G92" i="31" s="1"/>
  <c r="H93" i="31"/>
  <c r="O92" i="31" a="1"/>
  <c r="F93" i="31" a="1"/>
  <c r="O92" i="31" l="1"/>
  <c r="F93" i="31"/>
  <c r="L93" i="31" s="1"/>
  <c r="N92" i="31" a="1"/>
  <c r="N92" i="31" s="1"/>
  <c r="I93" i="31"/>
  <c r="M92" i="31" a="1"/>
  <c r="M92" i="31" l="1"/>
  <c r="J93" i="31"/>
  <c r="K93" i="31"/>
  <c r="A94" i="31" l="1"/>
  <c r="H94" i="31" a="1"/>
  <c r="E93" i="31" a="1"/>
  <c r="E93" i="31" l="1"/>
  <c r="G93" i="31" s="1"/>
  <c r="H94" i="31"/>
  <c r="O93" i="31" a="1"/>
  <c r="F94" i="31" a="1"/>
  <c r="O93" i="31" l="1"/>
  <c r="F94" i="31"/>
  <c r="L94" i="31" s="1"/>
  <c r="N93" i="31" a="1"/>
  <c r="N93" i="31" s="1"/>
  <c r="I94" i="31"/>
  <c r="M93" i="31" a="1"/>
  <c r="M93" i="31" l="1"/>
  <c r="J94" i="31"/>
  <c r="K94" i="31"/>
  <c r="A95" i="31" l="1"/>
  <c r="H95" i="31" a="1"/>
  <c r="E94" i="31" a="1"/>
  <c r="E94" i="31" l="1"/>
  <c r="G94" i="31" s="1"/>
  <c r="H95" i="31"/>
  <c r="O94" i="31" a="1"/>
  <c r="F95" i="31" a="1"/>
  <c r="O94" i="31" l="1"/>
  <c r="F95" i="31"/>
  <c r="L95" i="31" s="1"/>
  <c r="N94" i="31" a="1"/>
  <c r="N94" i="31" s="1"/>
  <c r="I95" i="31"/>
  <c r="M94" i="31" a="1"/>
  <c r="M94" i="31" l="1"/>
  <c r="J95" i="31"/>
  <c r="K95" i="31"/>
  <c r="A96" i="31" l="1"/>
  <c r="H96" i="31" a="1"/>
  <c r="E95" i="31" a="1"/>
  <c r="E95" i="31" l="1"/>
  <c r="G95" i="31" s="1"/>
  <c r="O95" i="31" s="1" a="1"/>
  <c r="O95" i="31" s="1"/>
  <c r="H96" i="31"/>
  <c r="F96" i="31" a="1"/>
  <c r="F96" i="31" l="1"/>
  <c r="L96" i="31" s="1"/>
  <c r="N95" i="31" a="1"/>
  <c r="N95" i="31" s="1"/>
  <c r="I96" i="31"/>
  <c r="M95" i="31" a="1"/>
  <c r="M95" i="31" l="1"/>
  <c r="J96" i="31"/>
  <c r="K96" i="31"/>
  <c r="A97" i="31" l="1"/>
  <c r="H97" i="31" a="1"/>
  <c r="E96" i="31" a="1"/>
  <c r="E96" i="31" l="1"/>
  <c r="G96" i="31" s="1"/>
  <c r="H97" i="31"/>
  <c r="O96" i="31" a="1"/>
  <c r="F97" i="31" a="1"/>
  <c r="O96" i="31" l="1"/>
  <c r="F97" i="31"/>
  <c r="L97" i="31" s="1"/>
  <c r="N96" i="31" a="1"/>
  <c r="N96" i="31" s="1"/>
  <c r="I97" i="31"/>
  <c r="M96" i="31" a="1"/>
  <c r="M96" i="31" l="1"/>
  <c r="J97" i="31"/>
  <c r="K97" i="31"/>
  <c r="A98" i="31" l="1"/>
  <c r="H98" i="31" a="1"/>
  <c r="E97" i="31" a="1"/>
  <c r="E97" i="31" l="1"/>
  <c r="G97" i="31" s="1"/>
  <c r="H98" i="31"/>
  <c r="O97" i="31" a="1"/>
  <c r="F98" i="31" a="1"/>
  <c r="O97" i="31" l="1"/>
  <c r="F98" i="31"/>
  <c r="L98" i="31" s="1"/>
  <c r="N97" i="31" a="1"/>
  <c r="N97" i="31" s="1"/>
  <c r="I98" i="31"/>
  <c r="M97" i="31" a="1"/>
  <c r="M97" i="31" l="1"/>
  <c r="J98" i="31"/>
  <c r="K98" i="31"/>
  <c r="A99" i="31" l="1"/>
  <c r="H99" i="31" a="1"/>
  <c r="E98" i="31" a="1"/>
  <c r="E98" i="31" l="1"/>
  <c r="G98" i="31" s="1"/>
  <c r="O98" i="31" s="1" a="1"/>
  <c r="O98" i="31" s="1"/>
  <c r="H99" i="31"/>
  <c r="F99" i="31" a="1"/>
  <c r="F99" i="31" l="1"/>
  <c r="N98" i="31" a="1"/>
  <c r="N98" i="31" s="1"/>
  <c r="O99" i="31" a="1"/>
  <c r="I99" i="31"/>
  <c r="M98" i="31" a="1"/>
  <c r="O99" i="31" l="1"/>
  <c r="M98" i="31"/>
  <c r="L99" i="31"/>
  <c r="J99" i="31"/>
  <c r="K99" i="31"/>
  <c r="A100" i="31" l="1"/>
  <c r="H100" i="31" a="1"/>
  <c r="E99" i="31" a="1"/>
  <c r="E99" i="31" l="1"/>
  <c r="H100" i="31"/>
  <c r="M99" i="31" a="1"/>
  <c r="F100" i="31" a="1"/>
  <c r="F100" i="31" l="1"/>
  <c r="L100" i="31" s="1"/>
  <c r="M99" i="31"/>
  <c r="I100" i="31"/>
  <c r="J100" i="31"/>
  <c r="K100" i="31"/>
  <c r="A101" i="31" l="1"/>
  <c r="H101" i="31" a="1"/>
  <c r="E100" i="31" a="1"/>
  <c r="E100" i="31" l="1"/>
  <c r="G100" i="31" s="1"/>
  <c r="O100" i="31" s="1" a="1"/>
  <c r="O100" i="31" s="1"/>
  <c r="H101" i="31"/>
  <c r="F101" i="31" a="1"/>
  <c r="F101" i="31" l="1"/>
  <c r="L101" i="31" s="1"/>
  <c r="N100" i="31" a="1"/>
  <c r="N100" i="31" s="1"/>
  <c r="I101" i="31"/>
  <c r="M100" i="31" a="1"/>
  <c r="M100" i="31" l="1"/>
  <c r="J101" i="31"/>
  <c r="K101" i="31"/>
  <c r="E101" i="31" a="1"/>
  <c r="A102" i="31" l="1"/>
  <c r="E101" i="31"/>
  <c r="G101" i="31" s="1"/>
  <c r="O101" i="31" a="1"/>
  <c r="H102" i="31" a="1"/>
  <c r="O101" i="31" l="1"/>
  <c r="H102" i="31"/>
  <c r="N101" i="31" a="1"/>
  <c r="N101" i="31" s="1"/>
  <c r="F102" i="31" a="1"/>
  <c r="M101" i="31" a="1"/>
  <c r="I102" i="31"/>
  <c r="F102" i="31" l="1"/>
  <c r="L102" i="31" s="1"/>
  <c r="M101" i="31"/>
  <c r="J102" i="31"/>
  <c r="K102" i="31"/>
  <c r="E102" i="31" a="1"/>
  <c r="A103" i="31" l="1"/>
  <c r="E102" i="31"/>
  <c r="G102" i="31" s="1"/>
  <c r="O102" i="31" s="1" a="1"/>
  <c r="O102" i="31" s="1"/>
  <c r="H103" i="31" a="1"/>
  <c r="H103" i="31" l="1"/>
  <c r="N102" i="31" a="1"/>
  <c r="N102" i="31" s="1"/>
  <c r="I103" i="31"/>
  <c r="F103" i="31" a="1"/>
  <c r="M102" i="31" a="1"/>
  <c r="J103" i="31"/>
  <c r="K103" i="31" s="1"/>
  <c r="F103" i="31" l="1"/>
  <c r="M102" i="31"/>
  <c r="L103" i="31" l="1"/>
  <c r="A104" i="31" s="1"/>
  <c r="H104" i="31" a="1"/>
  <c r="E103" i="31" a="1"/>
  <c r="H104" i="31" l="1"/>
  <c r="E103" i="31"/>
  <c r="G103" i="31"/>
  <c r="O103" i="31" a="1"/>
  <c r="I104" i="31"/>
  <c r="F104" i="31" a="1"/>
  <c r="N103" i="31" a="1"/>
  <c r="J104" i="31"/>
  <c r="K104" i="31" s="1"/>
  <c r="O103" i="31" l="1"/>
  <c r="F104" i="31"/>
  <c r="L104" i="31" s="1"/>
  <c r="A105" i="31" s="1"/>
  <c r="N103" i="31"/>
  <c r="E104" i="31" a="1"/>
  <c r="H105" i="31" a="1"/>
  <c r="M103" i="31" a="1"/>
  <c r="E104" i="31" l="1"/>
  <c r="G104" i="31" s="1"/>
  <c r="H105" i="31"/>
  <c r="M103" i="31"/>
  <c r="O104" i="31" a="1"/>
  <c r="N104" i="31" a="1"/>
  <c r="M104" i="31" a="1"/>
  <c r="I105" i="31"/>
  <c r="J105" i="31" s="1"/>
  <c r="K105" i="31" s="1"/>
  <c r="F105" i="31" a="1"/>
  <c r="O104" i="31" l="1"/>
  <c r="M104" i="31"/>
  <c r="N104" i="31"/>
  <c r="F105" i="31"/>
  <c r="L105" i="31" s="1"/>
  <c r="A106" i="31" s="1"/>
  <c r="E105" i="31" a="1"/>
  <c r="H106" i="31" a="1"/>
  <c r="E105" i="31" l="1"/>
  <c r="G105" i="31" s="1"/>
  <c r="N105" i="31" s="1" a="1"/>
  <c r="N105" i="31" s="1"/>
  <c r="H106" i="31"/>
  <c r="M105" i="31" a="1"/>
  <c r="O105" i="31" a="1"/>
  <c r="F106" i="31" a="1"/>
  <c r="I106" i="31"/>
  <c r="J106" i="31"/>
  <c r="K106" i="31" s="1"/>
  <c r="O105" i="31" l="1"/>
  <c r="M105" i="31"/>
  <c r="F106" i="31"/>
  <c r="L106" i="31" l="1"/>
  <c r="L107" i="31"/>
  <c r="E106" i="31" a="1"/>
  <c r="E107" i="31" a="1"/>
  <c r="E107" i="31" l="1"/>
  <c r="G107" i="31" s="1"/>
  <c r="E106" i="31"/>
  <c r="G106" i="31" s="1"/>
  <c r="A108" i="31"/>
  <c r="M107" i="31" a="1"/>
  <c r="O107" i="31" a="1"/>
  <c r="M106" i="31" a="1"/>
  <c r="O106" i="31" a="1"/>
  <c r="H108" i="31" a="1"/>
  <c r="H108" i="31" l="1"/>
  <c r="O106" i="31"/>
  <c r="M106" i="31"/>
  <c r="O107" i="31"/>
  <c r="M107" i="31"/>
  <c r="N107" i="31" a="1"/>
  <c r="N107" i="31" s="1"/>
  <c r="N106" i="31" a="1"/>
  <c r="F108" i="31" a="1"/>
  <c r="I108" i="31"/>
  <c r="J108" i="31"/>
  <c r="K108" i="31" s="1"/>
  <c r="N106" i="31" l="1"/>
  <c r="F108" i="31"/>
  <c r="L108" i="31" s="1"/>
  <c r="E108" i="31" a="1"/>
  <c r="E108" i="31" l="1"/>
  <c r="G108" i="31" s="1"/>
  <c r="A109" i="31"/>
  <c r="M108" i="31" a="1"/>
  <c r="O108" i="31" a="1"/>
  <c r="H109" i="31" a="1"/>
  <c r="H109" i="31" l="1"/>
  <c r="O108" i="31"/>
  <c r="M108" i="31"/>
  <c r="N108" i="31" a="1"/>
  <c r="N108" i="31" s="1"/>
  <c r="I109" i="31"/>
  <c r="F109" i="31" a="1"/>
  <c r="J109" i="31"/>
  <c r="K109" i="31" s="1"/>
  <c r="F109" i="31" l="1"/>
  <c r="L109" i="31" s="1"/>
  <c r="E109" i="31" a="1"/>
  <c r="E109" i="31" l="1"/>
  <c r="G109" i="31" s="1"/>
  <c r="N109" i="31" s="1" a="1"/>
  <c r="N109" i="31" s="1"/>
  <c r="A110" i="31"/>
  <c r="H110" i="31" a="1"/>
  <c r="M109" i="31" a="1"/>
  <c r="O109" i="31" a="1"/>
  <c r="H110" i="31" l="1"/>
  <c r="O109" i="31"/>
  <c r="M109" i="31"/>
  <c r="I110" i="31"/>
  <c r="F110" i="31" a="1"/>
  <c r="J110" i="31"/>
  <c r="K110" i="31"/>
  <c r="F110" i="31" l="1"/>
  <c r="L110" i="31" s="1"/>
  <c r="A111" i="31" s="1"/>
  <c r="G110" i="31"/>
  <c r="H111" i="31" a="1"/>
  <c r="E110" i="31" l="1" a="1"/>
  <c r="E110" i="31" s="1"/>
  <c r="H111" i="31"/>
  <c r="M110" i="31" a="1"/>
  <c r="M110" i="31" s="1"/>
  <c r="F111" i="31" a="1"/>
  <c r="O110" i="31" a="1"/>
  <c r="N110" i="31" a="1"/>
  <c r="N110" i="31" l="1"/>
  <c r="O110" i="31"/>
  <c r="F111" i="31"/>
  <c r="L111" i="31" s="1"/>
  <c r="I111" i="31"/>
  <c r="J111" i="31"/>
  <c r="K111" i="31"/>
  <c r="A112" i="31" l="1"/>
  <c r="G111" i="31"/>
  <c r="E111" i="31" a="1"/>
  <c r="E111" i="31" s="1"/>
  <c r="H112" i="31" a="1"/>
  <c r="H112" i="31" l="1"/>
  <c r="M111" i="31" a="1"/>
  <c r="M111" i="31" s="1"/>
  <c r="F112" i="31" a="1"/>
  <c r="O111" i="31" a="1"/>
  <c r="N111" i="31" a="1"/>
  <c r="N111" i="31" l="1"/>
  <c r="O111" i="31"/>
  <c r="F112" i="31"/>
  <c r="L112" i="31" s="1"/>
  <c r="I112" i="31"/>
  <c r="J112" i="31"/>
  <c r="K112" i="31"/>
  <c r="A113" i="31" l="1"/>
  <c r="G112" i="31"/>
  <c r="E112" i="31" a="1"/>
  <c r="E112" i="31" s="1"/>
  <c r="H113" i="31" a="1"/>
  <c r="H113" i="31" l="1"/>
  <c r="M112" i="31" a="1"/>
  <c r="M112" i="31" s="1"/>
  <c r="F113" i="31" a="1"/>
  <c r="O112" i="31" a="1"/>
  <c r="N112" i="31" a="1"/>
  <c r="N112" i="31" l="1"/>
  <c r="O112" i="31"/>
  <c r="F113" i="31"/>
  <c r="L113" i="31" s="1"/>
  <c r="I113" i="31"/>
  <c r="J113" i="31"/>
  <c r="K113" i="31"/>
  <c r="A114" i="31" l="1"/>
  <c r="H114" i="31" a="1"/>
  <c r="E113" i="31" a="1"/>
  <c r="E113" i="31" l="1"/>
  <c r="G113" i="31" s="1"/>
  <c r="H114" i="31"/>
  <c r="F114" i="31" a="1"/>
  <c r="F114" i="31" l="1"/>
  <c r="L114" i="31" s="1"/>
  <c r="N113" i="31" a="1"/>
  <c r="N113" i="31" s="1"/>
  <c r="I114" i="31"/>
  <c r="O113" i="31" a="1"/>
  <c r="M113" i="31" a="1"/>
  <c r="M113" i="31" l="1"/>
  <c r="O113" i="31"/>
  <c r="J114" i="31"/>
  <c r="K114" i="31"/>
  <c r="A115" i="31" l="1"/>
  <c r="H115" i="31" a="1"/>
  <c r="E114" i="31" a="1"/>
  <c r="E114" i="31" l="1"/>
  <c r="G114" i="31" s="1"/>
  <c r="H115" i="31"/>
  <c r="F115" i="31" a="1"/>
  <c r="F115" i="31" l="1"/>
  <c r="L115" i="31" s="1"/>
  <c r="N114" i="31" a="1"/>
  <c r="N114" i="31" s="1"/>
  <c r="M114" i="31" a="1"/>
  <c r="O114" i="31" a="1"/>
  <c r="I115" i="31"/>
  <c r="O114" i="31" l="1"/>
  <c r="M114" i="31"/>
  <c r="J115" i="31"/>
  <c r="K115" i="31"/>
  <c r="A116" i="31" l="1"/>
  <c r="H116" i="31" a="1"/>
  <c r="E115" i="31" a="1"/>
  <c r="E115" i="31" l="1"/>
  <c r="G115" i="31" s="1"/>
  <c r="H116" i="31"/>
  <c r="F116" i="31" a="1"/>
  <c r="F116" i="31" l="1"/>
  <c r="N115" i="31" a="1"/>
  <c r="N115" i="31" s="1"/>
  <c r="M115" i="31" a="1"/>
  <c r="I116" i="31"/>
  <c r="O115" i="31" a="1"/>
  <c r="O115" i="31" l="1"/>
  <c r="M115" i="31"/>
  <c r="L116" i="31"/>
  <c r="L117" i="31"/>
  <c r="J116" i="31"/>
  <c r="E117" i="31" a="1"/>
  <c r="E117" i="31" l="1"/>
  <c r="G117" i="31" s="1"/>
  <c r="A118" i="31"/>
  <c r="K116" i="31"/>
  <c r="H118" i="31" a="1"/>
  <c r="H118" i="31" l="1"/>
  <c r="N117" i="31" a="1"/>
  <c r="N117" i="31" s="1"/>
  <c r="F118" i="31" a="1"/>
  <c r="M117" i="31" a="1"/>
  <c r="E116" i="31" a="1"/>
  <c r="O117" i="31" a="1"/>
  <c r="O117" i="31" l="1"/>
  <c r="E116" i="31"/>
  <c r="G116" i="31" s="1"/>
  <c r="M117" i="31"/>
  <c r="F118" i="31"/>
  <c r="L118" i="31" s="1"/>
  <c r="I118" i="31"/>
  <c r="N116" i="31" l="1" a="1"/>
  <c r="N116" i="31" s="1"/>
  <c r="J118" i="31"/>
  <c r="M116" i="31" a="1"/>
  <c r="O116" i="31" a="1"/>
  <c r="O116" i="31" l="1"/>
  <c r="M116" i="31"/>
  <c r="K118" i="31"/>
  <c r="A119" i="31" l="1"/>
  <c r="E118" i="31" a="1"/>
  <c r="H119" i="31" a="1"/>
  <c r="H119" i="31" l="1"/>
  <c r="E118" i="31"/>
  <c r="G118" i="31" s="1"/>
  <c r="F119" i="31" a="1"/>
  <c r="F119" i="31" l="1"/>
  <c r="L119" i="31" s="1"/>
  <c r="O118" i="31" a="1"/>
  <c r="O118" i="31" s="1"/>
  <c r="N118" i="31" a="1"/>
  <c r="N118" i="31" s="1"/>
  <c r="M118" i="31" a="1"/>
  <c r="I119" i="31"/>
  <c r="M118" i="31" l="1"/>
  <c r="J119" i="31"/>
  <c r="K119" i="31"/>
  <c r="A120" i="31" l="1"/>
  <c r="H120" i="31" a="1"/>
  <c r="E119" i="31" a="1"/>
  <c r="E119" i="31" l="1"/>
  <c r="G119" i="31" s="1"/>
  <c r="H120" i="31"/>
  <c r="F120" i="31" a="1"/>
  <c r="F120" i="31" l="1"/>
  <c r="L120" i="31" s="1"/>
  <c r="O119" i="31" a="1"/>
  <c r="O119" i="31" s="1"/>
  <c r="N119" i="31" a="1"/>
  <c r="N119" i="31" s="1"/>
  <c r="I120" i="31"/>
  <c r="M119" i="31" a="1"/>
  <c r="M119" i="31" l="1"/>
  <c r="J120" i="31"/>
  <c r="K120" i="31"/>
  <c r="A121" i="31" l="1"/>
  <c r="H121" i="31" a="1"/>
  <c r="E120" i="31" a="1"/>
  <c r="E120" i="31" l="1"/>
  <c r="G120" i="31" s="1"/>
  <c r="H121" i="31"/>
  <c r="F121" i="31" a="1"/>
  <c r="F121" i="31" l="1"/>
  <c r="L121" i="31" s="1"/>
  <c r="N120" i="31" a="1"/>
  <c r="N120" i="31" s="1"/>
  <c r="O120" i="31" a="1"/>
  <c r="O120" i="31" s="1"/>
  <c r="I121" i="31"/>
  <c r="M120" i="31" a="1"/>
  <c r="M120" i="31" l="1"/>
  <c r="J121" i="31"/>
  <c r="K121" i="31"/>
  <c r="A122" i="31" l="1"/>
  <c r="H122" i="31" a="1"/>
  <c r="E121" i="31" a="1"/>
  <c r="E121" i="31" l="1"/>
  <c r="G121" i="31" s="1"/>
  <c r="H122" i="31"/>
  <c r="F122" i="31" a="1"/>
  <c r="F122" i="31" l="1"/>
  <c r="L122" i="31" s="1"/>
  <c r="N121" i="31" a="1"/>
  <c r="N121" i="31" s="1"/>
  <c r="I122" i="31"/>
  <c r="O121" i="31" a="1"/>
  <c r="M121" i="31" a="1"/>
  <c r="M121" i="31" l="1"/>
  <c r="O121" i="31"/>
  <c r="J122" i="31"/>
  <c r="K122" i="31"/>
  <c r="G122" i="31" l="1"/>
  <c r="E122" i="31" a="1"/>
  <c r="E122" i="31" s="1"/>
  <c r="A123" i="31"/>
  <c r="H123" i="31" a="1"/>
  <c r="H123" i="31" l="1"/>
  <c r="M122" i="31" a="1"/>
  <c r="M122" i="31" s="1"/>
  <c r="F123" i="31" a="1"/>
  <c r="O122" i="31" a="1"/>
  <c r="N122" i="31" a="1"/>
  <c r="N122" i="31" l="1"/>
  <c r="O122" i="31"/>
  <c r="F123" i="31"/>
  <c r="L123" i="31" s="1"/>
  <c r="I123" i="31"/>
  <c r="J123" i="31"/>
  <c r="K123" i="31"/>
  <c r="A124" i="31" l="1"/>
  <c r="H124" i="31" a="1"/>
  <c r="E123" i="31" a="1"/>
  <c r="E123" i="31" l="1"/>
  <c r="G123" i="31" s="1"/>
  <c r="H124" i="31"/>
  <c r="F124" i="31" a="1"/>
  <c r="F124" i="31" l="1"/>
  <c r="L124" i="31" s="1"/>
  <c r="N123" i="31" a="1"/>
  <c r="N123" i="31" s="1"/>
  <c r="I124" i="31"/>
  <c r="M123" i="31" a="1"/>
  <c r="O123" i="31" a="1"/>
  <c r="O123" i="31" l="1"/>
  <c r="M123" i="31"/>
  <c r="J124" i="31"/>
  <c r="K124" i="31"/>
  <c r="A125" i="31" l="1"/>
  <c r="E124" i="31" a="1"/>
  <c r="E124" i="31" s="1"/>
  <c r="G124" i="31"/>
  <c r="H125" i="31" a="1"/>
  <c r="H125" i="31" l="1"/>
  <c r="M124" i="31" a="1"/>
  <c r="M124" i="31" s="1"/>
  <c r="F125" i="31" a="1"/>
  <c r="N124" i="31" a="1"/>
  <c r="O124" i="31" a="1"/>
  <c r="O124" i="31" l="1"/>
  <c r="N124" i="31"/>
  <c r="F125" i="31"/>
  <c r="L125" i="31" s="1"/>
  <c r="I125" i="31"/>
  <c r="J125" i="31"/>
  <c r="K125" i="31"/>
  <c r="E125" i="31" l="1" a="1"/>
  <c r="E125" i="31" s="1"/>
  <c r="G125" i="31"/>
  <c r="A126" i="31"/>
  <c r="H126" i="31" a="1"/>
  <c r="H126" i="31" l="1"/>
  <c r="M125" i="31" a="1"/>
  <c r="M125" i="31" s="1"/>
  <c r="F126" i="31" a="1"/>
  <c r="N125" i="31" a="1"/>
  <c r="O125" i="31" a="1"/>
  <c r="O125" i="31" l="1"/>
  <c r="N125" i="31"/>
  <c r="F126" i="31"/>
  <c r="L126" i="31" s="1"/>
  <c r="I126" i="31"/>
  <c r="J126" i="31"/>
  <c r="K126" i="31"/>
  <c r="A127" i="31" l="1"/>
  <c r="H127" i="31" a="1"/>
  <c r="E126" i="31" a="1"/>
  <c r="E126" i="31" l="1"/>
  <c r="G126" i="31" s="1"/>
  <c r="H127" i="31"/>
  <c r="F127" i="31" a="1"/>
  <c r="F127" i="31" l="1"/>
  <c r="L127" i="31" s="1"/>
  <c r="N126" i="31" a="1"/>
  <c r="N126" i="31" s="1"/>
  <c r="O126" i="31" a="1"/>
  <c r="I127" i="31"/>
  <c r="M126" i="31" a="1"/>
  <c r="M126" i="31" l="1"/>
  <c r="O126" i="31"/>
  <c r="J127" i="31"/>
  <c r="K127" i="31"/>
  <c r="A128" i="31" l="1"/>
  <c r="E127" i="31" a="1"/>
  <c r="E127" i="31" s="1"/>
  <c r="G127" i="31" s="1"/>
  <c r="H128" i="31" a="1"/>
  <c r="H128" i="31" l="1"/>
  <c r="M127" i="31" a="1"/>
  <c r="M127" i="31" s="1"/>
  <c r="F128" i="31" a="1"/>
  <c r="N127" i="31" a="1"/>
  <c r="O127" i="31" a="1"/>
  <c r="O127" i="31" l="1"/>
  <c r="N127" i="31"/>
  <c r="F128" i="31"/>
  <c r="L128" i="31" s="1"/>
  <c r="I128" i="31"/>
  <c r="J128" i="31"/>
  <c r="K128" i="31"/>
  <c r="A129" i="31" l="1"/>
  <c r="E128" i="31" a="1"/>
  <c r="E128" i="31" s="1"/>
  <c r="G128" i="31" s="1"/>
  <c r="H129" i="31" a="1"/>
  <c r="H129" i="31" l="1"/>
  <c r="M128" i="31" a="1"/>
  <c r="M128" i="31" s="1"/>
  <c r="F129" i="31" a="1"/>
  <c r="N128" i="31" a="1"/>
  <c r="O128" i="31" a="1"/>
  <c r="O128" i="31" l="1"/>
  <c r="N128" i="31"/>
  <c r="F129" i="31"/>
  <c r="L129" i="31" s="1"/>
  <c r="I129" i="31"/>
  <c r="J129" i="31"/>
  <c r="K129" i="31"/>
  <c r="A130" i="31" l="1"/>
  <c r="E129" i="31" a="1"/>
  <c r="E129" i="31" s="1"/>
  <c r="G129" i="31" s="1"/>
  <c r="H130" i="31" a="1"/>
  <c r="H130" i="31" l="1"/>
  <c r="M129" i="31" a="1"/>
  <c r="M129" i="31" s="1"/>
  <c r="F130" i="31" a="1"/>
  <c r="O129" i="31" a="1"/>
  <c r="N129" i="31" a="1"/>
  <c r="N129" i="31" l="1"/>
  <c r="O129" i="31"/>
  <c r="F130" i="31"/>
  <c r="L130" i="31" s="1"/>
  <c r="I130" i="31"/>
  <c r="J130" i="31"/>
  <c r="K130" i="31"/>
  <c r="A131" i="31" l="1"/>
  <c r="H131" i="31" a="1"/>
  <c r="E130" i="31" a="1"/>
  <c r="E130" i="31" l="1"/>
  <c r="G130" i="31" s="1"/>
  <c r="H131" i="31"/>
  <c r="F131" i="31" a="1"/>
  <c r="F131" i="31" l="1"/>
  <c r="L131" i="31" s="1"/>
  <c r="N130" i="31" a="1"/>
  <c r="N130" i="31" s="1"/>
  <c r="I131" i="31"/>
  <c r="M130" i="31" a="1"/>
  <c r="O130" i="31" a="1"/>
  <c r="O130" i="31" l="1"/>
  <c r="M130" i="31"/>
  <c r="J131" i="31"/>
  <c r="K131" i="31"/>
  <c r="A132" i="31" l="1"/>
  <c r="H132" i="31" a="1"/>
  <c r="E131" i="31" a="1"/>
  <c r="E131" i="31" l="1"/>
  <c r="G131" i="31" s="1"/>
  <c r="H132" i="31"/>
  <c r="F132" i="31" a="1"/>
  <c r="F132" i="31" l="1"/>
  <c r="L132" i="31" s="1"/>
  <c r="N131" i="31" a="1"/>
  <c r="N131" i="31" s="1"/>
  <c r="I132" i="31"/>
  <c r="M131" i="31" a="1"/>
  <c r="O131" i="31" a="1"/>
  <c r="O131" i="31" l="1"/>
  <c r="M131" i="31"/>
  <c r="J132" i="31"/>
  <c r="K132" i="31"/>
  <c r="A133" i="31" l="1"/>
  <c r="H133" i="31" a="1"/>
  <c r="E132" i="31" a="1"/>
  <c r="E132" i="31" l="1"/>
  <c r="G132" i="31" s="1"/>
  <c r="H133" i="31"/>
  <c r="F133" i="31" a="1"/>
  <c r="F133" i="31" l="1"/>
  <c r="L133" i="31" s="1"/>
  <c r="N132" i="31" a="1"/>
  <c r="N132" i="31" s="1"/>
  <c r="I133" i="31"/>
  <c r="M132" i="31" a="1"/>
  <c r="O132" i="31" a="1"/>
  <c r="O132" i="31" l="1"/>
  <c r="M132" i="31"/>
  <c r="J133" i="31"/>
  <c r="K133" i="31"/>
  <c r="A134" i="31" l="1"/>
  <c r="H134" i="31" a="1"/>
  <c r="E133" i="31" a="1"/>
  <c r="E133" i="31" l="1"/>
  <c r="G133" i="31" s="1"/>
  <c r="H134" i="31"/>
  <c r="F134" i="31" a="1"/>
  <c r="F134" i="31" l="1"/>
  <c r="L134" i="31" s="1"/>
  <c r="N133" i="31" a="1"/>
  <c r="N133" i="31" s="1"/>
  <c r="I134" i="31"/>
  <c r="M133" i="31" a="1"/>
  <c r="O133" i="31" a="1"/>
  <c r="O133" i="31" l="1"/>
  <c r="M133" i="31"/>
  <c r="J134" i="31"/>
  <c r="K134" i="31"/>
  <c r="A135" i="31" l="1"/>
  <c r="H135" i="31" a="1"/>
  <c r="E134" i="31" a="1"/>
  <c r="E134" i="31" l="1"/>
  <c r="G134" i="31" s="1"/>
  <c r="H135" i="31"/>
  <c r="F135" i="31" a="1"/>
  <c r="F135" i="31" l="1"/>
  <c r="L135" i="31" s="1"/>
  <c r="N134" i="31" a="1"/>
  <c r="N134" i="31" s="1"/>
  <c r="I135" i="31"/>
  <c r="O134" i="31" a="1"/>
  <c r="M134" i="31" a="1"/>
  <c r="M134" i="31" l="1"/>
  <c r="O134" i="31"/>
  <c r="J135" i="31"/>
  <c r="K135" i="31"/>
  <c r="A136" i="31" l="1"/>
  <c r="H136" i="31" a="1"/>
  <c r="E135" i="31" a="1"/>
  <c r="E135" i="31" l="1"/>
  <c r="G135" i="31" s="1"/>
  <c r="H136" i="31"/>
  <c r="F136" i="31" a="1"/>
  <c r="F136" i="31" l="1"/>
  <c r="L136" i="31" s="1"/>
  <c r="N135" i="31" a="1"/>
  <c r="N135" i="31" s="1"/>
  <c r="I136" i="31"/>
  <c r="O135" i="31" a="1"/>
  <c r="M135" i="31" a="1"/>
  <c r="M135" i="31" l="1"/>
  <c r="O135" i="31"/>
  <c r="J136" i="31"/>
  <c r="K136" i="31"/>
  <c r="A137" i="31" l="1"/>
  <c r="H137" i="31" a="1"/>
  <c r="E136" i="31" a="1"/>
  <c r="E136" i="31" l="1"/>
  <c r="G136" i="31" s="1"/>
  <c r="H137" i="31"/>
  <c r="F137" i="31" a="1"/>
  <c r="F137" i="31" l="1"/>
  <c r="L137" i="31" s="1"/>
  <c r="N136" i="31" a="1"/>
  <c r="N136" i="31" s="1"/>
  <c r="O136" i="31" a="1"/>
  <c r="I137" i="31"/>
  <c r="M136" i="31" a="1"/>
  <c r="M136" i="31" l="1"/>
  <c r="O136" i="31"/>
  <c r="J137" i="31"/>
  <c r="K137" i="31"/>
  <c r="A138" i="31" l="1"/>
  <c r="H138" i="31" a="1"/>
  <c r="E137" i="31" a="1"/>
  <c r="E137" i="31" l="1"/>
  <c r="G137" i="31" s="1"/>
  <c r="H138" i="31"/>
  <c r="F138" i="31" a="1"/>
  <c r="F138" i="31" l="1"/>
  <c r="L138" i="31" s="1"/>
  <c r="N137" i="31" a="1"/>
  <c r="N137" i="31" s="1"/>
  <c r="O137" i="31" a="1"/>
  <c r="O137" i="31" s="1"/>
  <c r="I138" i="31"/>
  <c r="M137" i="31" a="1"/>
  <c r="M137" i="31" l="1"/>
  <c r="J138" i="31"/>
  <c r="K138" i="31"/>
  <c r="A139" i="31" l="1"/>
  <c r="H139" i="31" a="1"/>
  <c r="E138" i="31" a="1"/>
  <c r="E138" i="31" l="1"/>
  <c r="G138" i="31" s="1"/>
  <c r="H139" i="31"/>
  <c r="F139" i="31" a="1"/>
  <c r="F139" i="31" l="1"/>
  <c r="L139" i="31" s="1"/>
  <c r="N138" i="31" a="1"/>
  <c r="N138" i="31" s="1"/>
  <c r="I139" i="31"/>
  <c r="M138" i="31" a="1"/>
  <c r="O138" i="31" a="1"/>
  <c r="O138" i="31" l="1"/>
  <c r="M138" i="31"/>
  <c r="J139" i="31"/>
  <c r="K139" i="31"/>
  <c r="A140" i="31" l="1"/>
  <c r="E139" i="31" a="1"/>
  <c r="H140" i="31" a="1"/>
  <c r="H140" i="31" l="1"/>
  <c r="E139" i="31"/>
  <c r="G139" i="31" s="1"/>
  <c r="F140" i="31" a="1"/>
  <c r="F140" i="31" l="1"/>
  <c r="L140" i="31" s="1"/>
  <c r="N139" i="31" a="1"/>
  <c r="N139" i="31" s="1"/>
  <c r="O139" i="31" a="1"/>
  <c r="O139" i="31" s="1"/>
  <c r="I140" i="31"/>
  <c r="M139" i="31" a="1"/>
  <c r="M139" i="31" l="1"/>
  <c r="J140" i="31"/>
  <c r="K140" i="31"/>
  <c r="A141" i="31" l="1"/>
  <c r="H141" i="31" a="1"/>
  <c r="E140" i="31" a="1"/>
  <c r="E140" i="31" l="1"/>
  <c r="G140" i="31" s="1"/>
  <c r="H141" i="31"/>
  <c r="F141" i="31" a="1"/>
  <c r="F141" i="31" l="1"/>
  <c r="L141" i="31" s="1"/>
  <c r="N140" i="31" a="1"/>
  <c r="N140" i="31" s="1"/>
  <c r="I141" i="31"/>
  <c r="O140" i="31" a="1"/>
  <c r="M140" i="31" a="1"/>
  <c r="M140" i="31" l="1"/>
  <c r="O140" i="31"/>
  <c r="J141" i="31"/>
  <c r="K141" i="31"/>
  <c r="A142" i="31" l="1"/>
  <c r="H142" i="31" a="1"/>
  <c r="E141" i="31" a="1"/>
  <c r="E141" i="31" l="1"/>
  <c r="G141" i="31" s="1"/>
  <c r="H142" i="31"/>
  <c r="F142" i="31" a="1"/>
  <c r="F142" i="31" l="1"/>
  <c r="L142" i="31" s="1"/>
  <c r="N141" i="31" a="1"/>
  <c r="N141" i="31" s="1"/>
  <c r="I142" i="31"/>
  <c r="O141" i="31" a="1"/>
  <c r="M141" i="31" a="1"/>
  <c r="M141" i="31" l="1"/>
  <c r="O141" i="31"/>
  <c r="J142" i="31"/>
  <c r="K142" i="31"/>
  <c r="A143" i="31" l="1"/>
  <c r="H143" i="31" a="1"/>
  <c r="E142" i="31" a="1"/>
  <c r="E142" i="31" l="1"/>
  <c r="G142" i="31" s="1"/>
  <c r="H143" i="31"/>
  <c r="F143" i="31" a="1"/>
  <c r="F143" i="31" l="1"/>
  <c r="L143" i="31" s="1"/>
  <c r="N142" i="31" a="1"/>
  <c r="N142" i="31" s="1"/>
  <c r="M142" i="31" a="1"/>
  <c r="O142" i="31" a="1"/>
  <c r="I143" i="31"/>
  <c r="O142" i="31" l="1"/>
  <c r="M142" i="31"/>
  <c r="J143" i="31"/>
  <c r="K143" i="31"/>
  <c r="A144" i="31" l="1"/>
  <c r="H144" i="31" a="1"/>
  <c r="E143" i="31" a="1"/>
  <c r="E143" i="31" l="1"/>
  <c r="G143" i="31" s="1"/>
  <c r="H144" i="31"/>
  <c r="F144" i="31" a="1"/>
  <c r="F144" i="31" l="1"/>
  <c r="L144" i="31" s="1"/>
  <c r="N143" i="31" a="1"/>
  <c r="N143" i="31" s="1"/>
  <c r="I144" i="31"/>
  <c r="M143" i="31" a="1"/>
  <c r="O143" i="31" a="1"/>
  <c r="O143" i="31" l="1"/>
  <c r="M143" i="31"/>
  <c r="J144" i="31"/>
  <c r="K144" i="31"/>
  <c r="A145" i="31" l="1"/>
  <c r="H145" i="31" a="1"/>
  <c r="E144" i="31" a="1"/>
  <c r="E144" i="31" l="1"/>
  <c r="G144" i="31" s="1"/>
  <c r="H145" i="31"/>
  <c r="F145" i="31" a="1"/>
  <c r="F145" i="31" l="1"/>
  <c r="L145" i="31" s="1"/>
  <c r="N144" i="31" a="1"/>
  <c r="N144" i="31" s="1"/>
  <c r="I145" i="31"/>
  <c r="O144" i="31" a="1"/>
  <c r="M144" i="31" a="1"/>
  <c r="M144" i="31" l="1"/>
  <c r="O144" i="31"/>
  <c r="J145" i="31"/>
  <c r="K145" i="31"/>
  <c r="A146" i="31" l="1"/>
  <c r="H146" i="31" a="1"/>
  <c r="E145" i="31" a="1"/>
  <c r="E145" i="31" l="1"/>
  <c r="G145" i="31" s="1"/>
  <c r="H146" i="31"/>
  <c r="F146" i="31" a="1"/>
  <c r="F146" i="31" l="1"/>
  <c r="L146" i="31" s="1"/>
  <c r="N145" i="31" a="1"/>
  <c r="N145" i="31" s="1"/>
  <c r="O145" i="31" a="1"/>
  <c r="I146" i="31"/>
  <c r="M145" i="31" a="1"/>
  <c r="M145" i="31" l="1"/>
  <c r="O145" i="31"/>
  <c r="J146" i="31"/>
  <c r="K146" i="31"/>
  <c r="A147" i="31" l="1"/>
  <c r="E146" i="31" a="1"/>
  <c r="H147" i="31" a="1"/>
  <c r="H147" i="31" l="1"/>
  <c r="E146" i="31"/>
  <c r="G146" i="31" s="1"/>
  <c r="F147" i="31" a="1"/>
  <c r="F147" i="31" l="1"/>
  <c r="L147" i="31" s="1"/>
  <c r="N146" i="31" a="1"/>
  <c r="N146" i="31" s="1"/>
  <c r="I147" i="31"/>
  <c r="O146" i="31" a="1"/>
  <c r="M146" i="31" a="1"/>
  <c r="M146" i="31" l="1"/>
  <c r="O146" i="31"/>
  <c r="J147" i="31"/>
  <c r="K147" i="31"/>
  <c r="A148" i="31" l="1"/>
  <c r="E147" i="31" a="1"/>
  <c r="H148" i="31" a="1"/>
  <c r="H148" i="31" l="1"/>
  <c r="E147" i="31"/>
  <c r="G147" i="31" s="1"/>
  <c r="F148" i="31" a="1"/>
  <c r="F148" i="31" l="1"/>
  <c r="O147" i="31" a="1"/>
  <c r="O147" i="31" s="1"/>
  <c r="N147" i="31" a="1"/>
  <c r="N147" i="31" s="1"/>
  <c r="I148" i="31"/>
  <c r="M147" i="31" a="1"/>
  <c r="M147" i="31" l="1"/>
  <c r="L148" i="31"/>
  <c r="L149" i="31"/>
  <c r="J148" i="31"/>
  <c r="E149" i="31" a="1"/>
  <c r="E149" i="31" l="1"/>
  <c r="G149" i="31" s="1"/>
  <c r="A150" i="31"/>
  <c r="K148" i="31"/>
  <c r="H150" i="31" a="1"/>
  <c r="H150" i="31" l="1"/>
  <c r="N149" i="31" a="1"/>
  <c r="N149" i="31" s="1"/>
  <c r="E148" i="31" a="1"/>
  <c r="M149" i="31" a="1"/>
  <c r="O149" i="31" a="1"/>
  <c r="F150" i="31" a="1"/>
  <c r="F150" i="31" l="1"/>
  <c r="L150" i="31" s="1"/>
  <c r="O149" i="31"/>
  <c r="M149" i="31"/>
  <c r="E148" i="31"/>
  <c r="G148" i="31" s="1"/>
  <c r="I150" i="31"/>
  <c r="O148" i="31" l="1" a="1"/>
  <c r="O148" i="31" s="1"/>
  <c r="N148" i="31" a="1"/>
  <c r="N148" i="31" s="1"/>
  <c r="J150" i="31"/>
  <c r="M148" i="31" a="1"/>
  <c r="M148" i="31" l="1"/>
  <c r="K150" i="31"/>
  <c r="A151" i="31" l="1"/>
  <c r="E150" i="31" a="1"/>
  <c r="H151" i="31" a="1"/>
  <c r="H151" i="31" l="1"/>
  <c r="E150" i="31"/>
  <c r="G150" i="31" s="1"/>
  <c r="F151" i="31" a="1"/>
  <c r="F151" i="31" l="1"/>
  <c r="L151" i="31" s="1"/>
  <c r="N150" i="31" a="1"/>
  <c r="N150" i="31" s="1"/>
  <c r="O150" i="31" a="1"/>
  <c r="I151" i="31"/>
  <c r="M150" i="31" a="1"/>
  <c r="M150" i="31" l="1"/>
  <c r="O150" i="31"/>
  <c r="J151" i="31"/>
  <c r="K151" i="31"/>
  <c r="A152" i="31" l="1"/>
  <c r="E151" i="31" a="1"/>
  <c r="H152" i="31" a="1"/>
  <c r="H152" i="31" l="1"/>
  <c r="E151" i="31"/>
  <c r="G151" i="31" s="1"/>
  <c r="F152" i="31" a="1"/>
  <c r="F152" i="31" l="1"/>
  <c r="L152" i="31" s="1"/>
  <c r="N151" i="31" a="1"/>
  <c r="N151" i="31" s="1"/>
  <c r="M151" i="31" a="1"/>
  <c r="I152" i="31"/>
  <c r="O151" i="31" a="1"/>
  <c r="O151" i="31" l="1"/>
  <c r="M151" i="31"/>
  <c r="J152" i="31"/>
  <c r="K152" i="31"/>
  <c r="A153" i="31" l="1"/>
  <c r="E152" i="31" a="1"/>
  <c r="H153" i="31" a="1"/>
  <c r="H153" i="31" l="1"/>
  <c r="E152" i="31"/>
  <c r="G152" i="31" s="1"/>
  <c r="F153" i="31" a="1"/>
  <c r="F153" i="31" l="1"/>
  <c r="L153" i="31" s="1"/>
  <c r="N152" i="31" a="1"/>
  <c r="N152" i="31" s="1"/>
  <c r="M152" i="31" a="1"/>
  <c r="I153" i="31"/>
  <c r="O152" i="31" a="1"/>
  <c r="O152" i="31" l="1"/>
  <c r="M152" i="31"/>
  <c r="J153" i="31"/>
  <c r="K153" i="31"/>
  <c r="A154" i="31" l="1"/>
  <c r="E153" i="31" a="1"/>
  <c r="H154" i="31" a="1"/>
  <c r="H154" i="31" l="1"/>
  <c r="E153" i="31"/>
  <c r="G153" i="31" s="1"/>
  <c r="F154" i="31" a="1"/>
  <c r="F154" i="31" l="1"/>
  <c r="L154" i="31" s="1"/>
  <c r="N153" i="31" a="1"/>
  <c r="N153" i="31" s="1"/>
  <c r="O153" i="31" a="1"/>
  <c r="M153" i="31" a="1"/>
  <c r="I154" i="31"/>
  <c r="M153" i="31" l="1"/>
  <c r="O153" i="31"/>
  <c r="J154" i="31"/>
  <c r="K154" i="31"/>
  <c r="A155" i="31" l="1"/>
  <c r="E154" i="31" a="1"/>
  <c r="H155" i="31" a="1"/>
  <c r="H155" i="31" l="1"/>
  <c r="E154" i="31"/>
  <c r="G154" i="31" s="1"/>
  <c r="F155" i="31" a="1"/>
  <c r="F155" i="31" l="1"/>
  <c r="O154" i="31" a="1"/>
  <c r="O154" i="31" s="1"/>
  <c r="N154" i="31" a="1"/>
  <c r="N154" i="31" s="1"/>
  <c r="O155" i="31" a="1"/>
  <c r="I155" i="31"/>
  <c r="M154" i="31" a="1"/>
  <c r="M154" i="31" l="1"/>
  <c r="O155" i="31"/>
  <c r="L155" i="31"/>
  <c r="J155" i="31"/>
  <c r="K155" i="31"/>
  <c r="A156" i="31" l="1"/>
  <c r="E155" i="31" a="1"/>
  <c r="H156" i="31" a="1"/>
  <c r="H156" i="31" l="1"/>
  <c r="E155" i="31"/>
  <c r="F156" i="31" a="1"/>
  <c r="M155" i="31" a="1"/>
  <c r="M155" i="31" l="1"/>
  <c r="F156" i="31"/>
  <c r="L156" i="31" s="1"/>
  <c r="I156" i="31"/>
  <c r="J156" i="31"/>
  <c r="K156" i="31"/>
  <c r="A157" i="31" l="1"/>
  <c r="E156" i="31" a="1"/>
  <c r="H157" i="31" a="1"/>
  <c r="H157" i="31" l="1"/>
  <c r="E156" i="31"/>
  <c r="G156" i="31" s="1"/>
  <c r="F157" i="31" a="1"/>
  <c r="F157" i="31" l="1"/>
  <c r="L157" i="31" s="1"/>
  <c r="N156" i="31" a="1"/>
  <c r="N156" i="31" s="1"/>
  <c r="M156" i="31" a="1"/>
  <c r="O156" i="31" a="1"/>
  <c r="I157" i="31"/>
  <c r="O156" i="31" l="1"/>
  <c r="M156" i="31"/>
  <c r="J157" i="31"/>
  <c r="K157" i="31"/>
  <c r="A158" i="31" l="1"/>
  <c r="E157" i="31" a="1"/>
  <c r="H158" i="31" a="1"/>
  <c r="H158" i="31" l="1"/>
  <c r="E157" i="31"/>
  <c r="G157" i="31" s="1"/>
  <c r="F158" i="31" a="1"/>
  <c r="F158" i="31" l="1"/>
  <c r="L158" i="31" s="1"/>
  <c r="O157" i="31" a="1"/>
  <c r="O157" i="31" s="1"/>
  <c r="N157" i="31" a="1"/>
  <c r="N157" i="31" s="1"/>
  <c r="M157" i="31" a="1"/>
  <c r="I158" i="31"/>
  <c r="M157" i="31" l="1"/>
  <c r="J158" i="31"/>
  <c r="K158" i="31"/>
  <c r="A159" i="31" l="1"/>
  <c r="E158" i="31" a="1"/>
  <c r="H159" i="31" a="1"/>
  <c r="H159" i="31" l="1"/>
  <c r="E158" i="31"/>
  <c r="G158" i="31" s="1"/>
  <c r="F159" i="31" a="1"/>
  <c r="F159" i="31" l="1"/>
  <c r="L159" i="31" s="1"/>
  <c r="N158" i="31" a="1"/>
  <c r="N158" i="31" s="1"/>
  <c r="O158" i="31" a="1"/>
  <c r="O158" i="31" s="1"/>
  <c r="M158" i="31" a="1"/>
  <c r="I159" i="31"/>
  <c r="M158" i="31" l="1"/>
  <c r="J159" i="31"/>
  <c r="K159" i="31"/>
  <c r="A160" i="31" l="1"/>
  <c r="E159" i="31" a="1"/>
  <c r="H160" i="31" a="1"/>
  <c r="H160" i="31" l="1"/>
  <c r="E159" i="31"/>
  <c r="G159" i="31" s="1"/>
  <c r="F160" i="31" a="1"/>
  <c r="F160" i="31" l="1"/>
  <c r="L160" i="31" s="1"/>
  <c r="N159" i="31" a="1"/>
  <c r="N159" i="31" s="1"/>
  <c r="O159" i="31" a="1"/>
  <c r="O159" i="31" s="1"/>
  <c r="M159" i="31" a="1"/>
  <c r="I160" i="31"/>
  <c r="M159" i="31" l="1"/>
  <c r="J160" i="31"/>
  <c r="K160" i="31"/>
  <c r="A161" i="31" l="1"/>
  <c r="E160" i="31" a="1"/>
  <c r="H161" i="31" a="1"/>
  <c r="H161" i="31" l="1"/>
  <c r="E160" i="31"/>
  <c r="G160" i="31" s="1"/>
  <c r="F161" i="31" a="1"/>
  <c r="F161" i="31" l="1"/>
  <c r="L161" i="31" s="1"/>
  <c r="N160" i="31" a="1"/>
  <c r="N160" i="31" s="1"/>
  <c r="O160" i="31" a="1"/>
  <c r="I161" i="31"/>
  <c r="M160" i="31" a="1"/>
  <c r="M160" i="31" l="1"/>
  <c r="O160" i="31"/>
  <c r="J161" i="31"/>
  <c r="K161" i="31"/>
  <c r="A162" i="31" l="1"/>
  <c r="E161" i="31" a="1"/>
  <c r="H162" i="31" a="1"/>
  <c r="H162" i="31" l="1"/>
  <c r="E161" i="31"/>
  <c r="G161" i="31" s="1"/>
  <c r="A163" i="31"/>
  <c r="F162" i="31" a="1"/>
  <c r="H163" i="31" a="1"/>
  <c r="H163" i="31" l="1"/>
  <c r="F162" i="31"/>
  <c r="N161" i="31" a="1"/>
  <c r="N161" i="31" s="1"/>
  <c r="F163" i="31" a="1"/>
  <c r="M161" i="31" a="1"/>
  <c r="O161" i="31" a="1"/>
  <c r="I162" i="31"/>
  <c r="O161" i="31" l="1"/>
  <c r="M161" i="31"/>
  <c r="F163" i="31"/>
  <c r="L163" i="31" s="1"/>
  <c r="J162" i="31"/>
  <c r="I163" i="31"/>
  <c r="J163" i="31"/>
  <c r="K162" i="31"/>
  <c r="K163" i="31"/>
  <c r="A164" i="31" l="1"/>
  <c r="E163" i="31" a="1"/>
  <c r="H164" i="31" a="1"/>
  <c r="H164" i="31" l="1"/>
  <c r="E163" i="31"/>
  <c r="G163" i="31" s="1"/>
  <c r="F164" i="31" a="1"/>
  <c r="F164" i="31" l="1"/>
  <c r="O163" i="31" a="1"/>
  <c r="O163" i="31" s="1"/>
  <c r="N163" i="31" a="1"/>
  <c r="N163" i="31" s="1"/>
  <c r="I164" i="31"/>
  <c r="M163" i="31" a="1"/>
  <c r="M163" i="31" l="1"/>
  <c r="L164" i="31"/>
  <c r="J164" i="31"/>
  <c r="K164" i="31"/>
  <c r="A165" i="31" l="1"/>
  <c r="E164" i="31" a="1"/>
  <c r="H165" i="31" a="1"/>
  <c r="H165" i="31" l="1"/>
  <c r="E164" i="31"/>
  <c r="G164" i="31" s="1"/>
  <c r="F165" i="31" a="1"/>
  <c r="F165" i="31" l="1"/>
  <c r="N164" i="31" a="1"/>
  <c r="N164" i="31" s="1"/>
  <c r="I165" i="31"/>
  <c r="M164" i="31" a="1"/>
  <c r="O164" i="31" a="1"/>
  <c r="O164" i="31" l="1"/>
  <c r="M164" i="31"/>
  <c r="L165" i="31"/>
  <c r="J165" i="31"/>
  <c r="K165" i="31"/>
  <c r="A166" i="31" l="1"/>
  <c r="E165" i="31" a="1"/>
  <c r="H166" i="31" a="1"/>
  <c r="H166" i="31" l="1"/>
  <c r="E165" i="31"/>
  <c r="G165" i="31" s="1"/>
  <c r="F166" i="31" a="1"/>
  <c r="F166" i="31" l="1"/>
  <c r="N165" i="31" a="1"/>
  <c r="N165" i="31" s="1"/>
  <c r="I166" i="31"/>
  <c r="M165" i="31" a="1"/>
  <c r="O165" i="31" a="1"/>
  <c r="O165" i="31" l="1"/>
  <c r="M165" i="31"/>
  <c r="L166" i="31"/>
  <c r="J166" i="31"/>
  <c r="K166" i="31"/>
  <c r="A167" i="31" l="1"/>
  <c r="E166" i="31" a="1"/>
  <c r="H167" i="31" a="1"/>
  <c r="H167" i="31" l="1"/>
  <c r="E166" i="31"/>
  <c r="G166" i="31" s="1"/>
  <c r="F167" i="31" a="1"/>
  <c r="F167" i="31" l="1"/>
  <c r="L167" i="31" s="1"/>
  <c r="N166" i="31" a="1"/>
  <c r="N166" i="31" s="1"/>
  <c r="M166" i="31" a="1"/>
  <c r="O166" i="31" a="1"/>
  <c r="I167" i="31"/>
  <c r="O166" i="31" l="1"/>
  <c r="M166" i="31"/>
  <c r="J167" i="31"/>
  <c r="K167" i="31"/>
  <c r="A168" i="31" l="1"/>
  <c r="E167" i="31" a="1"/>
  <c r="H168" i="31" a="1"/>
  <c r="H168" i="31" l="1"/>
  <c r="E167" i="31"/>
  <c r="G167" i="31" s="1"/>
  <c r="F168" i="31" a="1"/>
  <c r="F168" i="31" l="1"/>
  <c r="L168" i="31" s="1"/>
  <c r="N167" i="31" a="1"/>
  <c r="N167" i="31" s="1"/>
  <c r="O167" i="31" a="1"/>
  <c r="M167" i="31" a="1"/>
  <c r="I168" i="31"/>
  <c r="M167" i="31" l="1"/>
  <c r="O167" i="31"/>
  <c r="J168" i="31"/>
  <c r="K168" i="31"/>
  <c r="A169" i="31" l="1"/>
  <c r="H169" i="31" a="1"/>
  <c r="E168" i="31" a="1"/>
  <c r="E168" i="31" l="1"/>
  <c r="G168" i="31" s="1"/>
  <c r="H169" i="31"/>
  <c r="F169" i="31" a="1"/>
  <c r="F169" i="31" l="1"/>
  <c r="L169" i="31" s="1"/>
  <c r="N168" i="31" a="1"/>
  <c r="N168" i="31" s="1"/>
  <c r="I169" i="31"/>
  <c r="O168" i="31" a="1"/>
  <c r="M168" i="31" a="1"/>
  <c r="M168" i="31" l="1"/>
  <c r="O168" i="31"/>
  <c r="J169" i="31"/>
  <c r="K169" i="31"/>
  <c r="A170" i="31" l="1"/>
  <c r="H170" i="31" a="1"/>
  <c r="E169" i="31" a="1"/>
  <c r="E169" i="31" l="1"/>
  <c r="G169" i="31" s="1"/>
  <c r="H170" i="31"/>
  <c r="F170" i="31" a="1"/>
  <c r="F170" i="31" l="1"/>
  <c r="N169" i="31" a="1"/>
  <c r="N169" i="31" s="1"/>
  <c r="I170" i="31"/>
  <c r="O169" i="31" a="1"/>
  <c r="M169" i="31" a="1"/>
  <c r="M169" i="31" l="1"/>
  <c r="O169" i="31"/>
  <c r="L170" i="31"/>
  <c r="L162" i="31"/>
  <c r="E162" i="31" a="1"/>
  <c r="J170" i="31"/>
  <c r="E162" i="31" l="1"/>
  <c r="G162" i="31" s="1"/>
  <c r="K170" i="31"/>
  <c r="A171" i="31" l="1"/>
  <c r="N162" i="31" a="1"/>
  <c r="N162" i="31" s="1"/>
  <c r="H171" i="31" a="1"/>
  <c r="M162" i="31" a="1"/>
  <c r="E170" i="31" a="1"/>
  <c r="O162" i="31" a="1"/>
  <c r="O162" i="31" l="1"/>
  <c r="E170" i="31"/>
  <c r="G170" i="31" s="1"/>
  <c r="M162" i="31"/>
  <c r="H171" i="31"/>
  <c r="F171" i="31" a="1"/>
  <c r="F171" i="31" l="1"/>
  <c r="L171" i="31" s="1"/>
  <c r="O170" i="31" a="1"/>
  <c r="O170" i="31" s="1"/>
  <c r="N170" i="31" a="1"/>
  <c r="N170" i="31" s="1"/>
  <c r="I171" i="31"/>
  <c r="M170" i="31" a="1"/>
  <c r="M170" i="31" l="1"/>
  <c r="J171" i="31"/>
  <c r="K171" i="31"/>
  <c r="A172" i="31" l="1"/>
  <c r="H172" i="31" a="1"/>
  <c r="E171" i="31" a="1"/>
  <c r="E171" i="31" l="1"/>
  <c r="G171" i="31" s="1"/>
  <c r="H172" i="31"/>
  <c r="F172" i="31" a="1"/>
  <c r="F172" i="31" l="1"/>
  <c r="N171" i="31" a="1"/>
  <c r="N171" i="31" s="1"/>
  <c r="O171" i="31" a="1"/>
  <c r="M171" i="31" a="1"/>
  <c r="I172" i="31"/>
  <c r="M171" i="31" l="1"/>
  <c r="O171" i="31"/>
  <c r="L172" i="31"/>
  <c r="L174" i="31"/>
  <c r="L173" i="31"/>
  <c r="J172" i="31"/>
  <c r="E174" i="31" a="1"/>
  <c r="E173" i="31" a="1"/>
  <c r="E173" i="31" l="1"/>
  <c r="G173" i="31" s="1"/>
  <c r="E174" i="31"/>
  <c r="G174" i="31" s="1"/>
  <c r="K172" i="31"/>
  <c r="N174" i="31" l="1" a="1"/>
  <c r="N174" i="31" s="1"/>
  <c r="N173" i="31" a="1"/>
  <c r="N173" i="31" s="1"/>
  <c r="E172" i="31" a="1"/>
  <c r="O173" i="31" a="1"/>
  <c r="M173" i="31" a="1"/>
  <c r="O174" i="31" a="1"/>
  <c r="M174" i="31" a="1"/>
  <c r="M174" i="31" l="1"/>
  <c r="O174" i="31"/>
  <c r="M173" i="31"/>
  <c r="O173" i="31"/>
  <c r="E172" i="31"/>
  <c r="G172" i="31" s="1"/>
  <c r="N172" i="31" l="1" a="1"/>
  <c r="N172" i="31" s="1"/>
  <c r="O172" i="31" a="1"/>
  <c r="M172" i="31" a="1"/>
  <c r="M172" i="31" l="1"/>
  <c r="O172" i="3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<sst xmlns="http://schemas.openxmlformats.org/spreadsheetml/2006/main" count="6925" uniqueCount="583">
  <si>
    <t>Posto</t>
  </si>
  <si>
    <t>Lat</t>
  </si>
  <si>
    <t>Lon</t>
  </si>
  <si>
    <t>Subbacia Associada</t>
  </si>
  <si>
    <t>Coluna1</t>
  </si>
  <si>
    <t>Coluna2</t>
  </si>
  <si>
    <t>Coluna3</t>
  </si>
  <si>
    <t>PSATAGV</t>
  </si>
  <si>
    <t>Água Vermelha</t>
  </si>
  <si>
    <t>PSATCMG</t>
  </si>
  <si>
    <t>Camargos</t>
  </si>
  <si>
    <t>PSATCES</t>
  </si>
  <si>
    <t>Capão Escuro</t>
  </si>
  <si>
    <t>PSATELC</t>
  </si>
  <si>
    <t>Euclides da Cunha</t>
  </si>
  <si>
    <t>PSATFUN</t>
  </si>
  <si>
    <t>Funil</t>
  </si>
  <si>
    <t>PSATFUR</t>
  </si>
  <si>
    <t>Furnas</t>
  </si>
  <si>
    <t>PSATMRB</t>
  </si>
  <si>
    <t>Marimbondo</t>
  </si>
  <si>
    <t>PSATPRG</t>
  </si>
  <si>
    <t>Paraguaçu</t>
  </si>
  <si>
    <t>PSATPAS</t>
  </si>
  <si>
    <t>Passagem</t>
  </si>
  <si>
    <t>PSATPTB</t>
  </si>
  <si>
    <t>Porto dos Buenos</t>
  </si>
  <si>
    <t>PSATPTC</t>
  </si>
  <si>
    <t>Porto Colombia</t>
  </si>
  <si>
    <t>PSATFZA</t>
  </si>
  <si>
    <t>Foz do Areia</t>
  </si>
  <si>
    <t>PSATJSG</t>
  </si>
  <si>
    <t>Jordão-Segredo</t>
  </si>
  <si>
    <t>PSATSCX</t>
  </si>
  <si>
    <t>Salto Caxias</t>
  </si>
  <si>
    <t>PSATSCL</t>
  </si>
  <si>
    <t>Santa Clara</t>
  </si>
  <si>
    <t>PSATUVT</t>
  </si>
  <si>
    <t>União da Vitória</t>
  </si>
  <si>
    <t>PSATBSM</t>
  </si>
  <si>
    <t>Balsa Santa Maria</t>
  </si>
  <si>
    <t>PSATFLE</t>
  </si>
  <si>
    <t>Flórida+Estrada</t>
  </si>
  <si>
    <t>PSATITP</t>
  </si>
  <si>
    <t>Itaipu</t>
  </si>
  <si>
    <t>PSATIVM</t>
  </si>
  <si>
    <t>Ivinhema</t>
  </si>
  <si>
    <t>PSATPTQ</t>
  </si>
  <si>
    <t>Porto Taquara</t>
  </si>
  <si>
    <t>PSATCBI</t>
  </si>
  <si>
    <t>Corumbá I</t>
  </si>
  <si>
    <t>PSATCBIV</t>
  </si>
  <si>
    <t>Corumbá IV</t>
  </si>
  <si>
    <t>PSATEMB</t>
  </si>
  <si>
    <t>Emborcação</t>
  </si>
  <si>
    <t>PSATIMBR</t>
  </si>
  <si>
    <t>Itumbiara</t>
  </si>
  <si>
    <t>PSATNPTE</t>
  </si>
  <si>
    <t>Nova Ponte</t>
  </si>
  <si>
    <t>PSATARV</t>
  </si>
  <si>
    <t>Abaixo do rio Verde</t>
  </si>
  <si>
    <t>PSATSFC</t>
  </si>
  <si>
    <t>Serra do Facão</t>
  </si>
  <si>
    <t>PSATSSM</t>
  </si>
  <si>
    <t>São Simão</t>
  </si>
  <si>
    <t>PSATCNI</t>
  </si>
  <si>
    <t>Canoas I</t>
  </si>
  <si>
    <t>PSATCPV</t>
  </si>
  <si>
    <t>Capivara</t>
  </si>
  <si>
    <t>PSATCHT</t>
  </si>
  <si>
    <t>Chavantes</t>
  </si>
  <si>
    <t>PSATJUR</t>
  </si>
  <si>
    <t>Jurumirim</t>
  </si>
  <si>
    <t>PSATMAU</t>
  </si>
  <si>
    <t>Mauá</t>
  </si>
  <si>
    <t>PSATROS</t>
  </si>
  <si>
    <t>Rosana</t>
  </si>
  <si>
    <t>PSATQMD</t>
  </si>
  <si>
    <t>Queimado</t>
  </si>
  <si>
    <t>PSATRBX</t>
  </si>
  <si>
    <t>Retiro Baixo</t>
  </si>
  <si>
    <t>PSATSFR</t>
  </si>
  <si>
    <t>São Francisco</t>
  </si>
  <si>
    <t>PSATSRM</t>
  </si>
  <si>
    <t>São Romão</t>
  </si>
  <si>
    <t>PSATTMR</t>
  </si>
  <si>
    <t>Três Marias</t>
  </si>
  <si>
    <t>PSATBOQ</t>
  </si>
  <si>
    <t>Boqueirão</t>
  </si>
  <si>
    <t>PSATBBO</t>
  </si>
  <si>
    <t>Barra Bonita</t>
  </si>
  <si>
    <t>PSATESZ</t>
  </si>
  <si>
    <t>Edgard de Souza</t>
  </si>
  <si>
    <t>PSATIBT</t>
  </si>
  <si>
    <t>Ibitinga</t>
  </si>
  <si>
    <t>PSATNAV</t>
  </si>
  <si>
    <t>Nova Avanhandava</t>
  </si>
  <si>
    <t>PSATSME</t>
  </si>
  <si>
    <t>Serra da Mesa</t>
  </si>
  <si>
    <t>PSATBGR</t>
  </si>
  <si>
    <t>Barra Grande</t>
  </si>
  <si>
    <t>PSATCNV</t>
  </si>
  <si>
    <t>Campos Novos</t>
  </si>
  <si>
    <t>PSATFCH</t>
  </si>
  <si>
    <t>Foz do Chapecó</t>
  </si>
  <si>
    <t>PSATITA</t>
  </si>
  <si>
    <t>Itá</t>
  </si>
  <si>
    <t>PSATMCD</t>
  </si>
  <si>
    <t>Machadinho</t>
  </si>
  <si>
    <t>PSATMOJ</t>
  </si>
  <si>
    <t>Monjolinho</t>
  </si>
  <si>
    <t>PSATQQX</t>
  </si>
  <si>
    <t>Quebra-Queixo</t>
  </si>
  <si>
    <t>PSATPSJ</t>
  </si>
  <si>
    <t>Passo São João</t>
  </si>
  <si>
    <t>PSATESP</t>
  </si>
  <si>
    <t>Espora</t>
  </si>
  <si>
    <t>PSATSRC</t>
  </si>
  <si>
    <t>Salto do Rio Verdinho</t>
  </si>
  <si>
    <t>PSATFRCL</t>
  </si>
  <si>
    <t>Foz do Rio Claro</t>
  </si>
  <si>
    <t>PSATISOT</t>
  </si>
  <si>
    <t>Ilha Solteira</t>
  </si>
  <si>
    <t>PSATJUP</t>
  </si>
  <si>
    <t>Jupiá</t>
  </si>
  <si>
    <t>PSATSDG</t>
  </si>
  <si>
    <t>Sao Domingos</t>
  </si>
  <si>
    <t>PSATFZBT</t>
  </si>
  <si>
    <t>Fazenda Buriti</t>
  </si>
  <si>
    <t>PSATPPRA</t>
  </si>
  <si>
    <t>Porto Primavera</t>
  </si>
  <si>
    <t>PSATBTE</t>
  </si>
  <si>
    <t>Bandeirantes</t>
  </si>
  <si>
    <t>PSATARAG</t>
  </si>
  <si>
    <t>Conceição do Araguaia</t>
  </si>
  <si>
    <t>PSATLAJ</t>
  </si>
  <si>
    <t>Lajeado</t>
  </si>
  <si>
    <t>PSATPTRL</t>
  </si>
  <si>
    <t>Porto Real</t>
  </si>
  <si>
    <t>PSATLJET</t>
  </si>
  <si>
    <t>Estreito TOC</t>
  </si>
  <si>
    <t>PSATUCR</t>
  </si>
  <si>
    <t>Tucuruí</t>
  </si>
  <si>
    <t>PSATXIVJ</t>
  </si>
  <si>
    <t>14 de Julho</t>
  </si>
  <si>
    <t>PSATDFRC</t>
  </si>
  <si>
    <t>Dona Francisca</t>
  </si>
  <si>
    <t>PSATREAL</t>
  </si>
  <si>
    <t>Passo Real</t>
  </si>
  <si>
    <t>PSATCTAV</t>
  </si>
  <si>
    <t>Castro Alves</t>
  </si>
  <si>
    <t>PSATERNT</t>
  </si>
  <si>
    <t>Ernestina</t>
  </si>
  <si>
    <t>PSATSTPL</t>
  </si>
  <si>
    <t>Salto Pilão</t>
  </si>
  <si>
    <t>PSATCVCH</t>
  </si>
  <si>
    <t>Capivari Cachoeira</t>
  </si>
  <si>
    <t>PSATAMY</t>
  </si>
  <si>
    <t>Amaru Mayu</t>
  </si>
  <si>
    <t>Guajará Mirim</t>
  </si>
  <si>
    <t>Príncipe da Beira</t>
  </si>
  <si>
    <t>Santo Antônio</t>
  </si>
  <si>
    <t>PSATDARD</t>
  </si>
  <si>
    <t>Dardanelos</t>
  </si>
  <si>
    <t>PSATGUAP</t>
  </si>
  <si>
    <t>Guaporé</t>
  </si>
  <si>
    <t>PSATJIRA</t>
  </si>
  <si>
    <t>Jirau (incremental)</t>
  </si>
  <si>
    <t>PSATROND</t>
  </si>
  <si>
    <t>Rondon II</t>
  </si>
  <si>
    <t>PSATSAMU</t>
  </si>
  <si>
    <t>Samuel</t>
  </si>
  <si>
    <t>PSATBSOR</t>
  </si>
  <si>
    <t>Boa Sorte</t>
  </si>
  <si>
    <t>PSATBESP</t>
  </si>
  <si>
    <t>Boa Esperança (posto)</t>
  </si>
  <si>
    <t>PSATPIME</t>
  </si>
  <si>
    <t>Pimental (incremental)</t>
  </si>
  <si>
    <t>PSATCOLI</t>
  </si>
  <si>
    <t>Colíder</t>
  </si>
  <si>
    <t>PSATSAEL</t>
  </si>
  <si>
    <t>São Manoel</t>
  </si>
  <si>
    <t>PSATBALB</t>
  </si>
  <si>
    <t>Balbina</t>
  </si>
  <si>
    <t>PSATCUNA</t>
  </si>
  <si>
    <t>Curua-Una</t>
  </si>
  <si>
    <t>PSATJARI</t>
  </si>
  <si>
    <t>Sto Antônio do Jari</t>
  </si>
  <si>
    <t>PSATFGOM</t>
  </si>
  <si>
    <t>Ferreira Gomes</t>
  </si>
  <si>
    <t>PSATIRAP</t>
  </si>
  <si>
    <t>Irapé</t>
  </si>
  <si>
    <t>PSATITBI</t>
  </si>
  <si>
    <t>Itapebi</t>
  </si>
  <si>
    <t>PSATUBE</t>
  </si>
  <si>
    <t>Uhe Boa Esperança</t>
  </si>
  <si>
    <t>PSATITQ</t>
  </si>
  <si>
    <t>Itiquira</t>
  </si>
  <si>
    <t>PSATJAU</t>
  </si>
  <si>
    <t>Jauru</t>
  </si>
  <si>
    <t>PSATMAN</t>
  </si>
  <si>
    <t>Manso</t>
  </si>
  <si>
    <t>PSATPTP</t>
  </si>
  <si>
    <t>Ponte de Pedra</t>
  </si>
  <si>
    <t>PSATPDC</t>
  </si>
  <si>
    <t>Pedra do Cavalo</t>
  </si>
  <si>
    <t>PSATSTCL</t>
  </si>
  <si>
    <t>PSATROSA</t>
  </si>
  <si>
    <t>Rosal</t>
  </si>
  <si>
    <t>PSATCAN</t>
  </si>
  <si>
    <t>Candoga</t>
  </si>
  <si>
    <t>PSATSAC</t>
  </si>
  <si>
    <t>Sa Carvalho</t>
  </si>
  <si>
    <t>PSATPES</t>
  </si>
  <si>
    <t>Porto Estrela</t>
  </si>
  <si>
    <t>PSATMAS</t>
  </si>
  <si>
    <t>Mascarenhas</t>
  </si>
  <si>
    <t>PSATSBR</t>
  </si>
  <si>
    <t>Santa Branca</t>
  </si>
  <si>
    <t>PSATJAG  </t>
  </si>
  <si>
    <t>Jaguari</t>
  </si>
  <si>
    <t>PSATFUNI </t>
  </si>
  <si>
    <t>PSATSACE </t>
  </si>
  <si>
    <t>Santa Cecília</t>
  </si>
  <si>
    <t>PSATPIC  </t>
  </si>
  <si>
    <t>Picada</t>
  </si>
  <si>
    <t>PSATSOGI </t>
  </si>
  <si>
    <t>Sobragi</t>
  </si>
  <si>
    <t>PSATIPSI </t>
  </si>
  <si>
    <t>Ilha dos Pombos</t>
  </si>
  <si>
    <t>PSATTCLJ  </t>
  </si>
  <si>
    <t>Tocos + Lajes</t>
  </si>
  <si>
    <t>PSATBIGU</t>
  </si>
  <si>
    <t>Baixo Iguacu</t>
  </si>
  <si>
    <t>PSATBRAU</t>
  </si>
  <si>
    <t>Barra do Brauna</t>
  </si>
  <si>
    <t>PSATSUIC</t>
  </si>
  <si>
    <t>Suiça</t>
  </si>
  <si>
    <t>MODELO</t>
  </si>
  <si>
    <t>SIGLA</t>
  </si>
  <si>
    <t>BACIA</t>
  </si>
  <si>
    <t>SUBBACIA</t>
  </si>
  <si>
    <t>SUBBACIA MODELADA</t>
  </si>
  <si>
    <t>TIPO</t>
  </si>
  <si>
    <t>AUX</t>
  </si>
  <si>
    <t>Código 1</t>
  </si>
  <si>
    <t>Código 2</t>
  </si>
  <si>
    <t>n bacias</t>
  </si>
  <si>
    <t>i_bacia</t>
  </si>
  <si>
    <t>CÓDIGO BDT</t>
  </si>
  <si>
    <t>CÓDIGO FLU ANA</t>
  </si>
  <si>
    <t>PSAT</t>
  </si>
  <si>
    <t>SMAP GRANDE E PARANAIBA</t>
  </si>
  <si>
    <t>SMP_GRPRNB</t>
  </si>
  <si>
    <t>Grande</t>
  </si>
  <si>
    <t>Paranaíba</t>
  </si>
  <si>
    <t>BASE - RESERVATÓRIO</t>
  </si>
  <si>
    <t>SMAP PARANAZÃO</t>
  </si>
  <si>
    <t>SMP_PRNzao</t>
  </si>
  <si>
    <t>Paranapanema</t>
  </si>
  <si>
    <t>Paraná</t>
  </si>
  <si>
    <t>Tietê</t>
  </si>
  <si>
    <t>SMAP SUL</t>
  </si>
  <si>
    <t>SMP_SUL</t>
  </si>
  <si>
    <t>Iguaçu</t>
  </si>
  <si>
    <t>Uruguai</t>
  </si>
  <si>
    <t>Jacuí</t>
  </si>
  <si>
    <t>Capivari</t>
  </si>
  <si>
    <t>Itajaí-Açu</t>
  </si>
  <si>
    <t>SMAP NE</t>
  </si>
  <si>
    <t>SMP_NE</t>
  </si>
  <si>
    <t>Jequitinhonha</t>
  </si>
  <si>
    <t>Parnaíba</t>
  </si>
  <si>
    <t>SMAP NORTE</t>
  </si>
  <si>
    <t>SMP_N</t>
  </si>
  <si>
    <t>Tocantins</t>
  </si>
  <si>
    <t>Madeira</t>
  </si>
  <si>
    <t>Xingu</t>
  </si>
  <si>
    <t>Teles Pires</t>
  </si>
  <si>
    <t>Uatumã</t>
  </si>
  <si>
    <t>Jari</t>
  </si>
  <si>
    <t>Araguari</t>
  </si>
  <si>
    <t>SMAP OUTRAS_SE</t>
  </si>
  <si>
    <t>SMP_OSE</t>
  </si>
  <si>
    <t>Paraguai</t>
  </si>
  <si>
    <t>Doce</t>
  </si>
  <si>
    <t>Itabapoana</t>
  </si>
  <si>
    <t>Mucuri</t>
  </si>
  <si>
    <t>Paraíba do Sul</t>
  </si>
  <si>
    <t>Sta. Maria da Vitória</t>
  </si>
  <si>
    <t>Sub-bacia modelada: Camargos</t>
  </si>
  <si>
    <t>Reservatórios contidos:</t>
  </si>
  <si>
    <t>Código</t>
  </si>
  <si>
    <t>Nome</t>
  </si>
  <si>
    <t>Fatores de distribuição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</si>
  <si>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</si>
  <si>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</si>
  <si>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</si>
  <si>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</si>
  <si>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</si>
  <si>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</si>
  <si>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</si>
  <si>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</si>
  <si>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</si>
  <si>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</si>
  <si>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</si>
  <si>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</si>
  <si>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Itutinga</t>
  </si>
  <si>
    <t>Coeficientes de evapotranspiração (mm/dia)</t>
  </si>
  <si>
    <t>Precipitação verificada:</t>
  </si>
  <si>
    <t>Estação que a representa:</t>
  </si>
  <si>
    <t>Postos fluviométricos associados:</t>
  </si>
  <si>
    <t>Nome do reservatório associado</t>
  </si>
  <si>
    <t>Tempo de viagem (h)</t>
  </si>
  <si>
    <t>Sub-bacia modelada: Funil-MG</t>
  </si>
  <si>
    <t>Funil-MG</t>
  </si>
  <si>
    <t>Sub-bacia modelada: Furnas</t>
  </si>
  <si>
    <t>Paraguacu</t>
  </si>
  <si>
    <t>FURNAS</t>
  </si>
  <si>
    <t>Sub-bacia modelada: Paraguaçu</t>
  </si>
  <si>
    <t>Paraguaçu (Ponte Baguari)</t>
  </si>
  <si>
    <t>Sub-bacia modelada: Porto dos Buenos</t>
  </si>
  <si>
    <t>Sub-bacia modelada: Capão Escuro</t>
  </si>
  <si>
    <t>Fazenda Capão Escuro</t>
  </si>
  <si>
    <t>Sub-bacia modelada: Porto Colômbia</t>
  </si>
  <si>
    <t>Mascarenhas de Moraes</t>
  </si>
  <si>
    <t>L.C. Barreto</t>
  </si>
  <si>
    <t>Jaguara</t>
  </si>
  <si>
    <t>Igarapava</t>
  </si>
  <si>
    <t>Volta Grande</t>
  </si>
  <si>
    <t>Porto Colômbia</t>
  </si>
  <si>
    <t>Capao Escuro</t>
  </si>
  <si>
    <t>P. COLOMBIA</t>
  </si>
  <si>
    <t>Sub-bacia modelada: Euclides da Cunha</t>
  </si>
  <si>
    <t>Caconde</t>
  </si>
  <si>
    <t>Sub-bacia modelada: Marimbondo</t>
  </si>
  <si>
    <t>Limoeiro</t>
  </si>
  <si>
    <t>MARIMBONDO</t>
  </si>
  <si>
    <t>Sub-bacia modelada: Passagem</t>
  </si>
  <si>
    <t>Sub-bacia modelada: Água Vermelha</t>
  </si>
  <si>
    <t>Sub-bacia modelada: Corumbá IV</t>
  </si>
  <si>
    <t>Corumbá 4</t>
  </si>
  <si>
    <t>Sub-bacia modelada: Corumbá I</t>
  </si>
  <si>
    <t>Corumbá 3</t>
  </si>
  <si>
    <t>Corumbá</t>
  </si>
  <si>
    <t>Sub-bacia modelada: Serra do Facão</t>
  </si>
  <si>
    <t>Batalha</t>
  </si>
  <si>
    <t>Sub-bacia modelada: Emborcação</t>
  </si>
  <si>
    <t>Sub-bacia modelada: Nova Ponte</t>
  </si>
  <si>
    <t>Sub-bacia modelada: Itumbiara</t>
  </si>
  <si>
    <t>Capim Branco 2</t>
  </si>
  <si>
    <t>Miranda</t>
  </si>
  <si>
    <t>Capim Branco 1</t>
  </si>
  <si>
    <t>Sub-bacia modelada: Abaixo do Rio Verde</t>
  </si>
  <si>
    <t>Abaixo do Rio Verde</t>
  </si>
  <si>
    <t>Sub-bacia modelada: São Simão</t>
  </si>
  <si>
    <t>C. Dourada</t>
  </si>
  <si>
    <t>Sub-bacia modelada: Espora</t>
  </si>
  <si>
    <t>Sub-bacia modelada: Foz do Rio Claro</t>
  </si>
  <si>
    <t>B. Coqueiros</t>
  </si>
  <si>
    <t>Cacu</t>
  </si>
  <si>
    <t>Sub-bacia modelada: Salto Rio Verdinho</t>
  </si>
  <si>
    <t>S.R. Verdinho</t>
  </si>
  <si>
    <t>Salto</t>
  </si>
  <si>
    <t>Sub-bacia modelada: Mauá</t>
  </si>
  <si>
    <t>Sub-bacia modelada: Jurumirim</t>
  </si>
  <si>
    <t>Sub-bacia modelada: Chavantes</t>
  </si>
  <si>
    <t>Piraju</t>
  </si>
  <si>
    <t>Sub-bacia modelada: Canoas I</t>
  </si>
  <si>
    <t>Salto Grande CS</t>
  </si>
  <si>
    <t>Canoas II</t>
  </si>
  <si>
    <t>Ourinhos</t>
  </si>
  <si>
    <t>Sub-bacia modelada: Capivara</t>
  </si>
  <si>
    <t>Sub-bacia modelada: Rosana</t>
  </si>
  <si>
    <t>Taquaruçu</t>
  </si>
  <si>
    <t>Sub-bacia modelada: Ilha Solteira Equivalente</t>
  </si>
  <si>
    <t>I. Solteira</t>
  </si>
  <si>
    <t>Ilha + T. Irmãos</t>
  </si>
  <si>
    <t>Três Irmãos</t>
  </si>
  <si>
    <t>Sub-bacia modelada: Jupiá</t>
  </si>
  <si>
    <t>Sub-bacia modelada: São Domingos</t>
  </si>
  <si>
    <t>São Domingos</t>
  </si>
  <si>
    <t>Sub-bacia modelada: Fazenda Buriti</t>
  </si>
  <si>
    <t>Sub-bacia modelada: Porto Primavera</t>
  </si>
  <si>
    <t>Sub-bacia modelada: Balsa Santa Maria</t>
  </si>
  <si>
    <t>Novo Balsa Santa Maria</t>
  </si>
  <si>
    <t>Sub-bacia modelada: Florida Estrada</t>
  </si>
  <si>
    <t>Florida + Estrada Iguatemi</t>
  </si>
  <si>
    <t>Sub-bacia modelada: Itaipu</t>
  </si>
  <si>
    <t>Balsa Sta Maria</t>
  </si>
  <si>
    <t>ITAIPU</t>
  </si>
  <si>
    <t>64715001 e 64725000</t>
  </si>
  <si>
    <t>Florida Estrada</t>
  </si>
  <si>
    <t>Sub-bacia modelada: Ivinhema</t>
  </si>
  <si>
    <t>Sub-bacia modelada: Porto Taquara</t>
  </si>
  <si>
    <t>Novo Porto Taquara</t>
  </si>
  <si>
    <t>Sub-bacia modelada: Edgard de Souza</t>
  </si>
  <si>
    <t>Bill e Pedras</t>
  </si>
  <si>
    <t>E. S. + Pinheiros</t>
  </si>
  <si>
    <t>Guarapiranga</t>
  </si>
  <si>
    <t>Ponte Nova</t>
  </si>
  <si>
    <t>Sub-bacia modelada: Barra Bonita</t>
  </si>
  <si>
    <t>B. Bonita</t>
  </si>
  <si>
    <t>Sub-bacia modelada: Ibitinga</t>
  </si>
  <si>
    <t>Bariri</t>
  </si>
  <si>
    <t>Sub-bacia modelada: Nova Avanhandava</t>
  </si>
  <si>
    <t>N. Avanhandava</t>
  </si>
  <si>
    <t>Promissão</t>
  </si>
  <si>
    <t>Sub-bacia modelada: Foz do Areia</t>
  </si>
  <si>
    <t>G. B. Munhoz</t>
  </si>
  <si>
    <t>Uniao da Vitoria</t>
  </si>
  <si>
    <t>Sub-bacia modelada: União da Vitória</t>
  </si>
  <si>
    <t>União da Vitória - SIMEPAR</t>
  </si>
  <si>
    <t>Sub-bacia modelada: Santa Clara</t>
  </si>
  <si>
    <t>Santa Clara - PR</t>
  </si>
  <si>
    <t>Sub-bacia modelada: Jordão - Segredo</t>
  </si>
  <si>
    <t>Fundão</t>
  </si>
  <si>
    <t>Jordão</t>
  </si>
  <si>
    <t>Segredo</t>
  </si>
  <si>
    <t>Segredo+Jordão</t>
  </si>
  <si>
    <t>Sub-bacia modelada: Baixo Iguaçu</t>
  </si>
  <si>
    <t>Salto Osorio</t>
  </si>
  <si>
    <t>Salto Santiago</t>
  </si>
  <si>
    <t>Baixo Iguaçu</t>
  </si>
  <si>
    <t>PSATBIGU </t>
  </si>
  <si>
    <t>Sub-bacia modelada: Barra Grande</t>
  </si>
  <si>
    <t>Sub-bacia modelada: Campos Novos</t>
  </si>
  <si>
    <t>São Roque</t>
  </si>
  <si>
    <t>Garibaldi</t>
  </si>
  <si>
    <t>Sub-bacia modelada: Machadinho</t>
  </si>
  <si>
    <t>Sub-bacia modelada: Itá</t>
  </si>
  <si>
    <t>Sub-bacia modelada: Monjolinho</t>
  </si>
  <si>
    <t>Passo Fundo</t>
  </si>
  <si>
    <t>Sub-bacia modelada: Foz do Chapeco</t>
  </si>
  <si>
    <t>Foz Chapeco</t>
  </si>
  <si>
    <t>Sub-bacia modelada: Quebra Queixo</t>
  </si>
  <si>
    <t>Quebra Queixo</t>
  </si>
  <si>
    <t>Sub-bacia modelada: Passo São João</t>
  </si>
  <si>
    <t>São José</t>
  </si>
  <si>
    <t>Passo Sâo João</t>
  </si>
  <si>
    <t>Sub-bacia modelada: Ernestina</t>
  </si>
  <si>
    <t>Sub-bacia modelada: Passo Real</t>
  </si>
  <si>
    <t>Sub-bacia modelada: Dona Francisca</t>
  </si>
  <si>
    <t>Jacui</t>
  </si>
  <si>
    <t>Itauba</t>
  </si>
  <si>
    <t>D. Francisca</t>
  </si>
  <si>
    <t>Sub-bacia modelada: Castro Alves</t>
  </si>
  <si>
    <t>Sub-bacia modelada: 14 de Julho</t>
  </si>
  <si>
    <t>Monte Claro</t>
  </si>
  <si>
    <t>XIV Julho</t>
  </si>
  <si>
    <t>Sub-bacia modelada: Capivari Cachoeira</t>
  </si>
  <si>
    <t>G.P.Souza</t>
  </si>
  <si>
    <t>Sub-bacia modelada: Salto Pilão</t>
  </si>
  <si>
    <t>Salto Pilao</t>
  </si>
  <si>
    <t>Sub-bacia modelada: Retiro Baixo</t>
  </si>
  <si>
    <t>Sub-bacia modelada: Três Marias</t>
  </si>
  <si>
    <t>Sub-bacia modelada: Queimado</t>
  </si>
  <si>
    <t>Sub-bacia modelada: São Romão</t>
  </si>
  <si>
    <t>Sub-bacia modelada: São Francisco</t>
  </si>
  <si>
    <t>Sub-bacia modelada: Boqueirão</t>
  </si>
  <si>
    <t>Sub-bacia modelada: Irapé</t>
  </si>
  <si>
    <t>Sub-bacia modelada: Itapebi</t>
  </si>
  <si>
    <t>Sub-bacia modelada: Boa Esperança</t>
  </si>
  <si>
    <t>Boa Esperança</t>
  </si>
  <si>
    <t>Pesos</t>
  </si>
  <si>
    <t>UHE Boa Esperança</t>
  </si>
  <si>
    <t>Sub-bacia modelada: Pedra do Cavalo</t>
  </si>
  <si>
    <t>Sub-bacia modelada: Serra da Mesa</t>
  </si>
  <si>
    <t>Sub-bacia modelada: Lajeado</t>
  </si>
  <si>
    <t>Cana Brava</t>
  </si>
  <si>
    <t>São Salvador</t>
  </si>
  <si>
    <t>Peixe Angical</t>
  </si>
  <si>
    <t>Sub-bacia modelada: Porto Real</t>
  </si>
  <si>
    <t>UHE ESTREITO RIO DO SONO</t>
  </si>
  <si>
    <t>Sub-bacia modelada: Estreito</t>
  </si>
  <si>
    <t>Estreito</t>
  </si>
  <si>
    <t>Sub-bacia modelada: Bandeirantes</t>
  </si>
  <si>
    <t>Sub-bacia modelada: Conceição do Araguaia</t>
  </si>
  <si>
    <t>CONCEICAO DO ARAGUAIA</t>
  </si>
  <si>
    <t>Sub-bacia modelada: Tucuruí</t>
  </si>
  <si>
    <t>Sub-bacia modelada: Príncipe da Beira</t>
  </si>
  <si>
    <t>Principe da Beira</t>
  </si>
  <si>
    <t>Sub-bacia modelada: Guajará Mirim</t>
  </si>
  <si>
    <t>Guajara Mirim</t>
  </si>
  <si>
    <t>Sub-bacia modelada: Jirau</t>
  </si>
  <si>
    <t>Jirau</t>
  </si>
  <si>
    <t>Guajará-mirim</t>
  </si>
  <si>
    <t>Sub-bacia modelada: Santo Antônio</t>
  </si>
  <si>
    <t>Santo Antonio</t>
  </si>
  <si>
    <t>Sub-bacia modelada: Guaporé</t>
  </si>
  <si>
    <t>Sub-bacia modelada: Dardanelos</t>
  </si>
  <si>
    <t>Sub-bacia modelada: Samuel</t>
  </si>
  <si>
    <t>Sub-bacia modelada: Rondon II</t>
  </si>
  <si>
    <t>Sub-bacia modelada: Pimental</t>
  </si>
  <si>
    <t>Pimental</t>
  </si>
  <si>
    <t>Sub-bacia modelada: Colíder</t>
  </si>
  <si>
    <t>Sinop</t>
  </si>
  <si>
    <t>Sub-bacia modelada: São Manoel</t>
  </si>
  <si>
    <t>Sub-bacia modelada: Balbina</t>
  </si>
  <si>
    <t>Sub-bacia modelada: Curuá-Una</t>
  </si>
  <si>
    <t>Sub-bacia modelada: Santo Antonio do Jari</t>
  </si>
  <si>
    <t>Sto Antonio do Jari</t>
  </si>
  <si>
    <t>Sub-bacia modelada: Ferreira Gomes</t>
  </si>
  <si>
    <t>Cachoeira Caldeirão</t>
  </si>
  <si>
    <t>Coaracy Nunes</t>
  </si>
  <si>
    <t>Fereirra Gomes</t>
  </si>
  <si>
    <t>Sub-bacia modelada: Itiquira</t>
  </si>
  <si>
    <t>Itiquira I</t>
  </si>
  <si>
    <t>Sub-bacia modelada: Jauru</t>
  </si>
  <si>
    <t>Sub-bacia modelada: Manso</t>
  </si>
  <si>
    <t>Sub-bacia modelada: Ponte de Pedra</t>
  </si>
  <si>
    <t>Sub-bacia modelada: Candonga</t>
  </si>
  <si>
    <t>Candonga</t>
  </si>
  <si>
    <t>Sub-bacia modelada: Sa Carvalho</t>
  </si>
  <si>
    <t>Guiman Amorim</t>
  </si>
  <si>
    <t>Sá Carvalho</t>
  </si>
  <si>
    <t>Sub-bacia modelada: Porto Estrela</t>
  </si>
  <si>
    <t>Salto Grande CM</t>
  </si>
  <si>
    <t>Sub-bacia modelada: Mascarenhas</t>
  </si>
  <si>
    <t>Aimores</t>
  </si>
  <si>
    <t>Baguari</t>
  </si>
  <si>
    <t>Sub-bacia modelada: Rosal</t>
  </si>
  <si>
    <t>Sub-bacia modelada: Santa Clara-MG</t>
  </si>
  <si>
    <t>Sta. Clara-MG</t>
  </si>
  <si>
    <t>Santa Clara MG</t>
  </si>
  <si>
    <t>Sub-bacia modelada: Sta. Branca</t>
  </si>
  <si>
    <t>Paraibuna</t>
  </si>
  <si>
    <t>Sta. Branca</t>
  </si>
  <si>
    <t>Sub-bacia modelada: Jaguari</t>
  </si>
  <si>
    <t>PSATJAG</t>
  </si>
  <si>
    <t>Sub-bacia modelada: Funil</t>
  </si>
  <si>
    <t xml:space="preserve">PSATFUNI </t>
  </si>
  <si>
    <t>Sub-bacia modelada: Sta Cecília</t>
  </si>
  <si>
    <t>Sta Cecília</t>
  </si>
  <si>
    <t xml:space="preserve">PSATSACE </t>
  </si>
  <si>
    <t>Sub-bacia modelada: Picada</t>
  </si>
  <si>
    <t xml:space="preserve">PSATPIC  </t>
  </si>
  <si>
    <t>Sub-bacia modelada: Sobragi</t>
  </si>
  <si>
    <t xml:space="preserve">PSATSOGI </t>
  </si>
  <si>
    <t>Sub-bacia modelada: Ilha dos Pombos</t>
  </si>
  <si>
    <t>Anta</t>
  </si>
  <si>
    <t>PSATIPSI</t>
  </si>
  <si>
    <t>Sub-bacia modelada: Tocos + Lajes</t>
  </si>
  <si>
    <t>PSATTCLJ</t>
  </si>
  <si>
    <t>Sub-bacia modelada: Barra do Brauna</t>
  </si>
  <si>
    <t>Sub-bacia modelada: Suiça</t>
  </si>
  <si>
    <t>Amaru Mayu 1</t>
  </si>
  <si>
    <t>Amaru Mayu 2</t>
  </si>
  <si>
    <t>Amaru Mayu 3</t>
  </si>
  <si>
    <t>Amaru Mayu 4</t>
  </si>
  <si>
    <t>UHE Jirau Inc</t>
  </si>
  <si>
    <t>Montante do rio Beni</t>
  </si>
  <si>
    <t>Nova California</t>
  </si>
  <si>
    <t>PSATAMY1</t>
  </si>
  <si>
    <t>PSATAMY2</t>
  </si>
  <si>
    <t>PSATAMY3</t>
  </si>
  <si>
    <t>PSATAMY4</t>
  </si>
  <si>
    <t>PSATJRI</t>
  </si>
  <si>
    <t>PSATBENI</t>
  </si>
  <si>
    <t>PSATENC</t>
  </si>
  <si>
    <t>PSATEGM</t>
  </si>
  <si>
    <t>PSATPEPB</t>
  </si>
  <si>
    <t>PSATSTOA</t>
  </si>
  <si>
    <t>Sub-bacia modelada: Amaru Mayu</t>
  </si>
  <si>
    <t>K</t>
  </si>
  <si>
    <t>X</t>
  </si>
  <si>
    <t>NF</t>
  </si>
  <si>
    <t>QD</t>
  </si>
  <si>
    <t>Parâmetros de propagação por Muskingum</t>
  </si>
  <si>
    <t>Montante</t>
  </si>
  <si>
    <t>Jusante</t>
  </si>
  <si>
    <t>-</t>
  </si>
  <si>
    <t>PSATJRN</t>
  </si>
  <si>
    <t>PSATAPI</t>
  </si>
  <si>
    <t>Sub-bacia modelada: Juruena</t>
  </si>
  <si>
    <t>Juruena</t>
  </si>
  <si>
    <t>Sub-bacia modelada: Salto Apiacas</t>
  </si>
  <si>
    <t>Salto Apiacas</t>
  </si>
  <si>
    <t>Curuá-Una</t>
  </si>
  <si>
    <t>Caí</t>
  </si>
  <si>
    <t>Sub-bacia modelada: Salto RS</t>
  </si>
  <si>
    <t>Salto RS</t>
  </si>
  <si>
    <t>PSATSALT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</si>
</sst>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0.000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Arial"/>
      <family val="2"/>
    </font>
    <font>
      <sz val="9"/>
      <color rgb="FF333333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88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6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6"/>
      </bottom>
      <diagonal/>
    </border>
    <border>
      <left style="thick">
        <color theme="6" tint="-0.24994659260841701"/>
      </left>
      <right/>
      <top style="thick">
        <color theme="6" tint="-0.24994659260841701"/>
      </top>
      <bottom style="thin">
        <color theme="0"/>
      </bottom>
      <diagonal/>
    </border>
    <border>
      <left/>
      <right/>
      <top style="thick">
        <color theme="6" tint="-0.24994659260841701"/>
      </top>
      <bottom style="thin">
        <color theme="0"/>
      </bottom>
      <diagonal/>
    </border>
    <border>
      <left/>
      <right style="thick">
        <color theme="6" tint="-0.24994659260841701"/>
      </right>
      <top style="thick">
        <color theme="6" tint="-0.24994659260841701"/>
      </top>
      <bottom style="thin">
        <color theme="0"/>
      </bottom>
      <diagonal/>
    </border>
    <border>
      <left style="thick">
        <color theme="6" tint="-0.24994659260841701"/>
      </left>
      <right/>
      <top/>
      <bottom/>
      <diagonal/>
    </border>
    <border>
      <left/>
      <right style="thick">
        <color theme="6" tint="-0.24994659260841701"/>
      </right>
      <top/>
      <bottom/>
      <diagonal/>
    </border>
    <border>
      <left style="thick">
        <color theme="6" tint="-0.24994659260841701"/>
      </left>
      <right/>
      <top style="thin">
        <color theme="0"/>
      </top>
      <bottom style="thin">
        <color theme="0"/>
      </bottom>
      <diagonal/>
    </border>
    <border>
      <left/>
      <right style="thick">
        <color theme="6" tint="-0.24994659260841701"/>
      </right>
      <top style="thin">
        <color theme="0"/>
      </top>
      <bottom style="thin">
        <color theme="0"/>
      </bottom>
      <diagonal/>
    </border>
    <border>
      <left style="thick">
        <color theme="6" tint="-0.2499465926084170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6" tint="-0.24994659260841701"/>
      </right>
      <top style="thin">
        <color theme="0"/>
      </top>
      <bottom style="thin">
        <color theme="0"/>
      </bottom>
      <diagonal/>
    </border>
    <border>
      <left style="thick">
        <color theme="6" tint="-0.24994659260841701"/>
      </left>
      <right/>
      <top/>
      <bottom style="thin">
        <color theme="6"/>
      </bottom>
      <diagonal/>
    </border>
    <border>
      <left/>
      <right style="thick">
        <color theme="6" tint="-0.24994659260841701"/>
      </right>
      <top/>
      <bottom style="thin">
        <color theme="6"/>
      </bottom>
      <diagonal/>
    </border>
    <border>
      <left style="thick">
        <color theme="6" tint="-0.24994659260841701"/>
      </left>
      <right/>
      <top style="thin">
        <color theme="6"/>
      </top>
      <bottom style="thin">
        <color theme="6"/>
      </bottom>
      <diagonal/>
    </border>
    <border>
      <left/>
      <right style="thick">
        <color theme="6" tint="-0.24994659260841701"/>
      </right>
      <top style="thin">
        <color theme="6"/>
      </top>
      <bottom style="thin">
        <color theme="6"/>
      </bottom>
      <diagonal/>
    </border>
    <border>
      <left style="thick">
        <color theme="6" tint="-0.24994659260841701"/>
      </left>
      <right/>
      <top/>
      <bottom style="thick">
        <color theme="6" tint="-0.24994659260841701"/>
      </bottom>
      <diagonal/>
    </border>
    <border>
      <left/>
      <right/>
      <top/>
      <bottom style="thick">
        <color theme="6" tint="-0.24994659260841701"/>
      </bottom>
      <diagonal/>
    </border>
    <border>
      <left/>
      <right/>
      <top style="thin">
        <color theme="0"/>
      </top>
      <bottom style="thick">
        <color theme="6" tint="-0.24994659260841701"/>
      </bottom>
      <diagonal/>
    </border>
    <border>
      <left/>
      <right style="thick">
        <color theme="6" tint="-0.24994659260841701"/>
      </right>
      <top/>
      <bottom style="thick">
        <color theme="6" tint="-0.24994659260841701"/>
      </bottom>
      <diagonal/>
    </border>
    <border>
      <left style="thick">
        <color theme="6" tint="-0.24994659260841701"/>
      </left>
      <right/>
      <top style="thin">
        <color theme="6"/>
      </top>
      <bottom style="thick">
        <color theme="6" tint="-0.24994659260841701"/>
      </bottom>
      <diagonal/>
    </border>
    <border>
      <left/>
      <right/>
      <top style="thin">
        <color theme="6"/>
      </top>
      <bottom style="thick">
        <color theme="6" tint="-0.24994659260841701"/>
      </bottom>
      <diagonal/>
    </border>
    <border>
      <left/>
      <right style="thick">
        <color theme="6" tint="-0.24994659260841701"/>
      </right>
      <top style="thin">
        <color theme="6"/>
      </top>
      <bottom style="thick">
        <color theme="6" tint="-0.24994659260841701"/>
      </bottom>
      <diagonal/>
    </border>
    <border>
      <left/>
      <right/>
      <top style="thin">
        <color theme="6"/>
      </top>
      <bottom style="thin">
        <color theme="0"/>
      </bottom>
      <diagonal/>
    </border>
    <border>
      <left style="thick">
        <color theme="6" tint="-0.24994659260841701"/>
      </left>
      <right/>
      <top style="thin">
        <color theme="6"/>
      </top>
      <bottom style="thin">
        <color theme="0"/>
      </bottom>
      <diagonal/>
    </border>
    <border>
      <left/>
      <right style="thick">
        <color theme="6" tint="-0.24994659260841701"/>
      </right>
      <top style="thin">
        <color theme="6"/>
      </top>
      <bottom style="thin">
        <color theme="0"/>
      </bottom>
      <diagonal/>
    </border>
    <border>
      <left style="thick">
        <color theme="6" tint="-0.249977111117893"/>
      </left>
      <right/>
      <top style="thick">
        <color theme="6" tint="-0.249977111117893"/>
      </top>
      <bottom style="thin">
        <color theme="0"/>
      </bottom>
      <diagonal/>
    </border>
    <border>
      <left/>
      <right/>
      <top style="thick">
        <color theme="6" tint="-0.249977111117893"/>
      </top>
      <bottom style="thin">
        <color theme="0"/>
      </bottom>
      <diagonal/>
    </border>
    <border>
      <left/>
      <right style="thick">
        <color theme="6" tint="-0.249977111117893"/>
      </right>
      <top style="thick">
        <color theme="6" tint="-0.249977111117893"/>
      </top>
      <bottom style="thin">
        <color theme="0"/>
      </bottom>
      <diagonal/>
    </border>
    <border>
      <left style="thick">
        <color theme="6" tint="-0.249977111117893"/>
      </left>
      <right/>
      <top/>
      <bottom/>
      <diagonal/>
    </border>
    <border>
      <left style="medium">
        <color theme="6" tint="-0.249977111117893"/>
      </left>
      <right/>
      <top style="thin">
        <color theme="0"/>
      </top>
      <bottom style="thin">
        <color theme="0"/>
      </bottom>
      <diagonal/>
    </border>
    <border>
      <left style="medium">
        <color theme="6" tint="-0.249977111117893"/>
      </left>
      <right/>
      <top/>
      <bottom/>
      <diagonal/>
    </border>
    <border>
      <left style="medium">
        <color theme="6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6" tint="-0.249977111117893"/>
      </left>
      <right/>
      <top/>
      <bottom style="thin">
        <color theme="6"/>
      </bottom>
      <diagonal/>
    </border>
    <border>
      <left style="thick">
        <color theme="6" tint="-0.249977111117893"/>
      </left>
      <right/>
      <top style="thin">
        <color theme="6"/>
      </top>
      <bottom style="thin">
        <color theme="6"/>
      </bottom>
      <diagonal/>
    </border>
    <border>
      <left/>
      <right/>
      <top style="thick">
        <color theme="6" tint="-0.249977111117893"/>
      </top>
      <bottom style="thick">
        <color theme="6" tint="-0.249977111117893"/>
      </bottom>
      <diagonal/>
    </border>
    <border>
      <left/>
      <right style="thick">
        <color theme="6" tint="-0.249977111117893"/>
      </right>
      <top/>
      <bottom/>
      <diagonal/>
    </border>
    <border>
      <left style="thick">
        <color theme="6" tint="-0.249977111117893"/>
      </left>
      <right/>
      <top style="thin">
        <color theme="0"/>
      </top>
      <bottom style="thin">
        <color theme="0"/>
      </bottom>
      <diagonal/>
    </border>
    <border>
      <left/>
      <right style="thick">
        <color theme="6" tint="-0.249977111117893"/>
      </right>
      <top style="thin">
        <color theme="0"/>
      </top>
      <bottom style="thin">
        <color theme="0"/>
      </bottom>
      <diagonal/>
    </border>
    <border>
      <left style="thick">
        <color theme="6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6" tint="-0.249977111117893"/>
      </right>
      <top style="thin">
        <color theme="0"/>
      </top>
      <bottom style="thin">
        <color theme="0"/>
      </bottom>
      <diagonal/>
    </border>
    <border>
      <left/>
      <right style="thick">
        <color theme="6" tint="-0.249977111117893"/>
      </right>
      <top/>
      <bottom style="thin">
        <color theme="6"/>
      </bottom>
      <diagonal/>
    </border>
    <border>
      <left/>
      <right style="thick">
        <color theme="6" tint="-0.249977111117893"/>
      </right>
      <top style="thin">
        <color theme="6"/>
      </top>
      <bottom style="thin">
        <color theme="6"/>
      </bottom>
      <diagonal/>
    </border>
    <border>
      <left style="thick">
        <color theme="6" tint="-0.249977111117893"/>
      </left>
      <right/>
      <top style="thin">
        <color theme="6"/>
      </top>
      <bottom style="thick">
        <color theme="6" tint="-0.249977111117893"/>
      </bottom>
      <diagonal/>
    </border>
    <border>
      <left/>
      <right/>
      <top style="thin">
        <color theme="6"/>
      </top>
      <bottom style="thick">
        <color theme="6" tint="-0.249977111117893"/>
      </bottom>
      <diagonal/>
    </border>
    <border>
      <left/>
      <right style="thick">
        <color theme="6" tint="-0.249977111117893"/>
      </right>
      <top style="thin">
        <color theme="6"/>
      </top>
      <bottom style="thick">
        <color theme="6" tint="-0.249977111117893"/>
      </bottom>
      <diagonal/>
    </border>
    <border>
      <left style="thick">
        <color theme="6" tint="-0.249977111117893"/>
      </left>
      <right/>
      <top/>
      <bottom style="thick">
        <color theme="6" tint="-0.249977111117893"/>
      </bottom>
      <diagonal/>
    </border>
    <border>
      <left/>
      <right/>
      <top/>
      <bottom style="thick">
        <color theme="6" tint="-0.249977111117893"/>
      </bottom>
      <diagonal/>
    </border>
    <border>
      <left/>
      <right/>
      <top style="thin">
        <color theme="0"/>
      </top>
      <bottom style="thick">
        <color theme="6" tint="-0.249977111117893"/>
      </bottom>
      <diagonal/>
    </border>
    <border>
      <left/>
      <right style="thick">
        <color theme="6" tint="-0.249977111117893"/>
      </right>
      <top/>
      <bottom style="thick">
        <color theme="6" tint="-0.249977111117893"/>
      </bottom>
      <diagonal/>
    </border>
    <border>
      <left style="thick">
        <color theme="6" tint="-0.249977111117893"/>
      </left>
      <right/>
      <top style="thick">
        <color theme="6" tint="-0.249977111117893"/>
      </top>
      <bottom/>
      <diagonal/>
    </border>
    <border>
      <left/>
      <right/>
      <top style="thick">
        <color theme="6" tint="-0.249977111117893"/>
      </top>
      <bottom/>
      <diagonal/>
    </border>
    <border>
      <left/>
      <right style="thick">
        <color theme="6" tint="-0.249977111117893"/>
      </right>
      <top style="thick">
        <color theme="6" tint="-0.249977111117893"/>
      </top>
      <bottom/>
      <diagonal/>
    </border>
    <border>
      <left style="thick">
        <color theme="6"/>
      </left>
      <right/>
      <top style="thick">
        <color theme="6"/>
      </top>
      <bottom/>
      <diagonal/>
    </border>
    <border>
      <left/>
      <right/>
      <top style="thick">
        <color theme="6"/>
      </top>
      <bottom/>
      <diagonal/>
    </border>
    <border>
      <left/>
      <right style="thick">
        <color theme="6"/>
      </right>
      <top style="thick">
        <color theme="6"/>
      </top>
      <bottom/>
      <diagonal/>
    </border>
    <border>
      <left style="thick">
        <color theme="6"/>
      </left>
      <right/>
      <top style="thin">
        <color theme="0"/>
      </top>
      <bottom style="thin">
        <color theme="0"/>
      </bottom>
      <diagonal/>
    </border>
    <border>
      <left/>
      <right style="thick">
        <color theme="6"/>
      </right>
      <top style="thin">
        <color theme="0"/>
      </top>
      <bottom style="thin">
        <color theme="0"/>
      </bottom>
      <diagonal/>
    </border>
    <border>
      <left style="thick">
        <color theme="6"/>
      </left>
      <right/>
      <top/>
      <bottom/>
      <diagonal/>
    </border>
    <border>
      <left/>
      <right style="thick">
        <color theme="6"/>
      </right>
      <top/>
      <bottom/>
      <diagonal/>
    </border>
    <border>
      <left style="thick">
        <color theme="6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6"/>
      </right>
      <top style="thin">
        <color theme="0"/>
      </top>
      <bottom style="thin">
        <color theme="0"/>
      </bottom>
      <diagonal/>
    </border>
    <border>
      <left style="thick">
        <color theme="6"/>
      </left>
      <right/>
      <top/>
      <bottom style="thin">
        <color theme="6"/>
      </bottom>
      <diagonal/>
    </border>
    <border>
      <left/>
      <right style="thick">
        <color theme="6"/>
      </right>
      <top/>
      <bottom style="thin">
        <color theme="6"/>
      </bottom>
      <diagonal/>
    </border>
    <border>
      <left style="thick">
        <color theme="6"/>
      </left>
      <right/>
      <top style="thin">
        <color theme="6"/>
      </top>
      <bottom style="thin">
        <color theme="6"/>
      </bottom>
      <diagonal/>
    </border>
    <border>
      <left/>
      <right style="thick">
        <color theme="6"/>
      </right>
      <top style="thin">
        <color theme="6"/>
      </top>
      <bottom style="thin">
        <color theme="6"/>
      </bottom>
      <diagonal/>
    </border>
    <border>
      <left style="thick">
        <color theme="6"/>
      </left>
      <right/>
      <top/>
      <bottom style="thick">
        <color theme="6"/>
      </bottom>
      <diagonal/>
    </border>
    <border>
      <left/>
      <right/>
      <top/>
      <bottom style="thick">
        <color theme="6"/>
      </bottom>
      <diagonal/>
    </border>
    <border>
      <left/>
      <right/>
      <top style="thin">
        <color theme="0"/>
      </top>
      <bottom style="thick">
        <color theme="6"/>
      </bottom>
      <diagonal/>
    </border>
    <border>
      <left/>
      <right style="thick">
        <color theme="6"/>
      </right>
      <top/>
      <bottom style="thick">
        <color theme="6"/>
      </bottom>
      <diagonal/>
    </border>
    <border>
      <left style="thick">
        <color theme="6" tint="-0.249977111117893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ck">
        <color theme="6" tint="-0.249977111117893"/>
      </right>
      <top style="thin">
        <color theme="6"/>
      </top>
      <bottom/>
      <diagonal/>
    </border>
    <border>
      <left style="thick">
        <color theme="6" tint="-0.249977111117893"/>
      </left>
      <right/>
      <top/>
      <bottom style="thin">
        <color theme="0"/>
      </bottom>
      <diagonal/>
    </border>
    <border>
      <left/>
      <right style="thick">
        <color theme="6" tint="-0.249977111117893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6"/>
      </top>
      <bottom style="thick">
        <color theme="6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8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3" borderId="3" xfId="0" applyFill="1" applyBorder="1" applyAlignment="1">
      <alignment vertical="center"/>
    </xf>
    <xf numFmtId="165" fontId="0" fillId="3" borderId="3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165" fontId="0" fillId="3" borderId="23" xfId="0" applyNumberFormat="1" applyFill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vertical="center"/>
    </xf>
    <xf numFmtId="0" fontId="0" fillId="3" borderId="27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165" fontId="0" fillId="3" borderId="25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2" fontId="0" fillId="3" borderId="3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2" fontId="0" fillId="3" borderId="23" xfId="0" applyNumberForma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164" fontId="0" fillId="3" borderId="43" xfId="0" applyNumberFormat="1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165" fontId="0" fillId="3" borderId="51" xfId="0" applyNumberFormat="1" applyFill="1" applyBorder="1" applyAlignment="1">
      <alignment horizontal="center" vertical="center"/>
    </xf>
    <xf numFmtId="2" fontId="0" fillId="3" borderId="51" xfId="0" applyNumberForma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5" fontId="0" fillId="0" borderId="51" xfId="0" applyNumberFormat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57" xfId="0" applyFill="1" applyBorder="1" applyAlignment="1">
      <alignment vertical="center"/>
    </xf>
    <xf numFmtId="0" fontId="0" fillId="3" borderId="57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165" fontId="0" fillId="0" borderId="52" xfId="0" applyNumberFormat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164" fontId="0" fillId="3" borderId="72" xfId="0" applyNumberFormat="1" applyFill="1" applyBorder="1" applyAlignment="1">
      <alignment horizontal="center" vertical="center"/>
    </xf>
    <xf numFmtId="165" fontId="0" fillId="3" borderId="73" xfId="0" applyNumberFormat="1" applyFill="1" applyBorder="1" applyAlignment="1">
      <alignment horizontal="center" vertical="center"/>
    </xf>
    <xf numFmtId="2" fontId="0" fillId="3" borderId="73" xfId="0" applyNumberFormat="1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6" xfId="0" applyFill="1" applyBorder="1" applyAlignment="1">
      <alignment horizontal="center" vertical="center"/>
    </xf>
    <xf numFmtId="0" fontId="0" fillId="3" borderId="77" xfId="0" applyFill="1" applyBorder="1" applyAlignment="1">
      <alignment vertical="center"/>
    </xf>
    <xf numFmtId="0" fontId="0" fillId="3" borderId="77" xfId="0" applyFill="1" applyBorder="1" applyAlignment="1">
      <alignment horizontal="center" vertical="center"/>
    </xf>
    <xf numFmtId="0" fontId="0" fillId="3" borderId="79" xfId="0" applyFill="1" applyBorder="1" applyAlignment="1">
      <alignment horizontal="center" vertical="center"/>
    </xf>
    <xf numFmtId="0" fontId="0" fillId="4" borderId="0" xfId="0" applyFill="1"/>
    <xf numFmtId="165" fontId="0" fillId="3" borderId="3" xfId="0" applyNumberFormat="1" applyFill="1" applyBorder="1" applyAlignment="1">
      <alignment horizontal="left" vertical="center"/>
    </xf>
    <xf numFmtId="165" fontId="3" fillId="3" borderId="3" xfId="0" applyNumberFormat="1" applyFont="1" applyFill="1" applyBorder="1" applyAlignment="1">
      <alignment horizontal="center" vertical="center"/>
    </xf>
    <xf numFmtId="165" fontId="3" fillId="3" borderId="5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3" borderId="51" xfId="0" applyNumberFormat="1" applyFont="1" applyFill="1" applyBorder="1" applyAlignment="1">
      <alignment horizontal="center" vertical="center"/>
    </xf>
    <xf numFmtId="164" fontId="4" fillId="3" borderId="4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4" fontId="4" fillId="0" borderId="43" xfId="0" applyNumberFormat="1" applyFont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2" fontId="4" fillId="3" borderId="5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0" fillId="0" borderId="80" xfId="0" applyBorder="1" applyAlignment="1">
      <alignment vertical="center" wrapText="1"/>
    </xf>
    <xf numFmtId="0" fontId="0" fillId="0" borderId="81" xfId="0" applyBorder="1" applyAlignment="1">
      <alignment vertical="center" wrapText="1"/>
    </xf>
    <xf numFmtId="0" fontId="0" fillId="0" borderId="82" xfId="0" applyBorder="1" applyAlignment="1">
      <alignment vertical="center" wrapText="1"/>
    </xf>
    <xf numFmtId="0" fontId="0" fillId="0" borderId="8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84" xfId="0" applyBorder="1" applyAlignment="1">
      <alignment vertical="center" wrapText="1"/>
    </xf>
    <xf numFmtId="0" fontId="3" fillId="3" borderId="3" xfId="0" applyFont="1" applyFill="1" applyBorder="1" applyAlignment="1">
      <alignment vertical="center"/>
    </xf>
    <xf numFmtId="0" fontId="3" fillId="3" borderId="72" xfId="0" applyFont="1" applyFill="1" applyBorder="1" applyAlignment="1">
      <alignment horizontal="center" vertical="center"/>
    </xf>
    <xf numFmtId="0" fontId="3" fillId="3" borderId="73" xfId="0" applyFont="1" applyFill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7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4" fillId="3" borderId="51" xfId="0" applyFont="1" applyFill="1" applyBorder="1" applyAlignment="1">
      <alignment horizontal="center" vertical="center"/>
    </xf>
    <xf numFmtId="164" fontId="4" fillId="0" borderId="44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3" fillId="3" borderId="43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4" fillId="3" borderId="3" xfId="1" applyNumberFormat="1" applyFont="1" applyFill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2" fontId="0" fillId="0" borderId="0" xfId="0" applyNumberFormat="1"/>
    <xf numFmtId="0" fontId="9" fillId="0" borderId="0" xfId="0" applyFont="1"/>
    <xf numFmtId="0" fontId="0" fillId="0" borderId="0" xfId="0" applyAlignment="1">
      <alignment vertical="center" wrapText="1"/>
    </xf>
    <xf numFmtId="166" fontId="0" fillId="3" borderId="3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0" fontId="0" fillId="3" borderId="3" xfId="1" applyNumberFormat="1" applyFont="1" applyFill="1" applyBorder="1" applyAlignment="1">
      <alignment horizontal="center" vertical="center"/>
    </xf>
    <xf numFmtId="0" fontId="10" fillId="0" borderId="0" xfId="0" applyFont="1"/>
    <xf numFmtId="2" fontId="4" fillId="0" borderId="51" xfId="0" applyNumberFormat="1" applyFont="1" applyBorder="1" applyAlignment="1">
      <alignment horizontal="center" vertical="center"/>
    </xf>
    <xf numFmtId="165" fontId="4" fillId="0" borderId="51" xfId="0" applyNumberFormat="1" applyFont="1" applyBorder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left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left" vertical="center"/>
    </xf>
    <xf numFmtId="0" fontId="0" fillId="0" borderId="77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165" fontId="0" fillId="3" borderId="77" xfId="0" applyNumberFormat="1" applyFill="1" applyBorder="1" applyAlignment="1">
      <alignment horizontal="center" vertical="center"/>
    </xf>
    <xf numFmtId="165" fontId="0" fillId="0" borderId="77" xfId="0" applyNumberFormat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0" fillId="3" borderId="73" xfId="0" applyNumberFormat="1" applyFill="1" applyBorder="1" applyAlignment="1">
      <alignment horizontal="center" vertical="center"/>
    </xf>
    <xf numFmtId="165" fontId="0" fillId="3" borderId="57" xfId="0" applyNumberFormat="1" applyFill="1" applyBorder="1" applyAlignment="1">
      <alignment horizontal="center" vertical="center"/>
    </xf>
    <xf numFmtId="0" fontId="0" fillId="3" borderId="56" xfId="0" quotePrefix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NumberFormat="1"/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" fillId="2" borderId="47" xfId="0" applyFont="1" applyFill="1" applyBorder="1" applyAlignment="1">
      <alignment horizontal="left" vertical="center"/>
    </xf>
    <xf numFmtId="0" fontId="2" fillId="2" borderId="48" xfId="0" applyFont="1" applyFill="1" applyBorder="1" applyAlignment="1">
      <alignment horizontal="left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0" fillId="0" borderId="45" xfId="0" applyBorder="1" applyAlignment="1">
      <alignment horizontal="center" vertical="center"/>
    </xf>
    <xf numFmtId="0" fontId="2" fillId="2" borderId="40" xfId="0" applyFont="1" applyFill="1" applyBorder="1" applyAlignment="1">
      <alignment horizontal="left" vertical="center"/>
    </xf>
    <xf numFmtId="0" fontId="1" fillId="2" borderId="42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80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3" borderId="78" xfId="0" applyFill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2" fillId="2" borderId="66" xfId="0" applyFont="1" applyFill="1" applyBorder="1" applyAlignment="1">
      <alignment horizontal="left" vertical="center"/>
    </xf>
    <xf numFmtId="0" fontId="2" fillId="2" borderId="67" xfId="0" applyFont="1" applyFill="1" applyBorder="1" applyAlignment="1">
      <alignment horizontal="left" vertical="center"/>
    </xf>
    <xf numFmtId="0" fontId="1" fillId="2" borderId="70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3" borderId="58" xfId="0" quotePrefix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86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1" fontId="0" fillId="3" borderId="12" xfId="0" applyNumberFormat="1" applyFill="1" applyBorder="1" applyAlignment="1">
      <alignment horizontal="left" vertical="center"/>
    </xf>
    <xf numFmtId="0" fontId="0" fillId="0" borderId="87" xfId="0" applyBorder="1" applyAlignment="1">
      <alignment horizontal="left" vertical="center"/>
    </xf>
    <xf numFmtId="1" fontId="11" fillId="3" borderId="12" xfId="0" applyNumberFormat="1" applyFont="1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2" fontId="0" fillId="3" borderId="12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78" xfId="0" applyFill="1" applyBorder="1" applyAlignment="1">
      <alignment horizontal="left" vertical="center"/>
    </xf>
  </cellXfs>
  <cellStyles count="2">
    <cellStyle name="Normal" xfId="0" builtinId="0"/>
    <cellStyle name="Porcentagem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700C6-F8C6-497A-9404-CECFC9B77248}" name="Tabela1" displayName="Tabela1" ref="A1:G1048574" totalsRowShown="0">
  <autoFilter ref="A1:G1048574" xr:uid="{B248C517-2CC6-4AFE-B7C6-68F134586F17}"/>
  <tableColumns count="7">
    <tableColumn id="1" xr3:uid="{7F99BD67-1C0B-4479-8B95-BCC59F4B5B92}" name="Posto"/>
    <tableColumn id="2" xr3:uid="{8A54CA45-DD1F-44A8-B8F5-F703F4080551}" name="Lat"/>
    <tableColumn id="3" xr3:uid="{00D4AAFD-2FD9-44AE-8462-E9C5E53B2E3D}" name="Lon"/>
    <tableColumn id="4" xr3:uid="{C901411D-9ADF-49A9-813E-DB0F6FAF7AA7}" name="Subbacia Associada"/>
    <tableColumn id="5" xr3:uid="{386FCAC7-56DC-49CE-8B37-BC54F550A370}" name="Coluna1"/>
    <tableColumn id="6" xr3:uid="{376F0699-0EF0-4D6F-9B7F-B066A6650D8A}" name="Coluna2"/>
    <tableColumn id="7" xr3:uid="{A6F6296F-78EF-4BD2-BBD7-74F07AE08497}" name="Coluna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56B0F0-25CD-4841-B8BF-68A85AD5C138}" name="Tabela2" displayName="Tabela2" ref="B1:O174" totalsRowShown="0">
  <autoFilter ref="B1:O174" xr:uid="{F789D356-F8AB-4674-A8F1-751D3ED4FC77}"/>
  <tableColumns count="14">
    <tableColumn id="1" xr3:uid="{C64F7618-017C-4808-84D3-975FD72573AC}" name="MODELO"/>
    <tableColumn id="2" xr3:uid="{C74036C2-8DDA-4160-BF97-628CE7CC67D4}" name="SIGLA"/>
    <tableColumn id="3" xr3:uid="{AAE7A425-5197-419C-AFD2-5190FD266561}" name="BACIA"/>
    <tableColumn id="4" xr3:uid="{08A8DCB0-7B54-4727-8CB4-A8B44569F46B}" name="SUBBACIA">
      <calculatedColumnFormula array="1">IF(K2=0,F2,TRIM(OFFSET(INDIRECT("'"&amp;B2&amp;"'!A1"),I2+L2,1)))</calculatedColumnFormula>
    </tableColumn>
    <tableColumn id="5" xr3:uid="{342E6419-7923-43CD-AAA4-A70254BB726B}" name="SUBBACIA MODELADA">
      <calculatedColumnFormula array="1">TRIM(SUBSTITUTE(INDEX(INDIRECT("'"&amp;B2&amp;"'!A1:A1000"),H2),"Sub-bacia modelada:",""))</calculatedColumnFormula>
    </tableColumn>
    <tableColumn id="6" xr3:uid="{0066D35E-617F-4E57-B4C5-991CC1167487}" name="TIPO">
      <calculatedColumnFormula>IF(K2=0,"BASE - POSTO FLU",IF(OR(E2=F2,K2=1),"BASE - RESERVATÓRIO","NÃO BASE"))</calculatedColumnFormula>
    </tableColumn>
    <tableColumn id="7" xr3:uid="{5220CC33-FD40-4CFE-9B73-BEB69433799C}" name="AUX">
      <calculatedColumnFormula array="1">SMALL(ROW(INDIRECT("'"&amp;B2&amp;"'!A1:A1000"))*IF(ISNUMBER(FIND("Sub-bacia modelada:",INDIRECT("'"&amp;B2&amp;"'!A1:A1000"))),1,9999),RESUMO!A2)</calculatedColumnFormula>
    </tableColumn>
    <tableColumn id="8" xr3:uid="{EFD7FD6E-BD62-4BC3-A1A4-88111EE503FD}" name="Código 1">
      <calculatedColumnFormula>MATCH("Código",INDIRECT("'"&amp;B2&amp;"'!A"&amp;H2&amp;":A"&amp;H2+20),0)+H2-1</calculatedColumnFormula>
    </tableColumn>
    <tableColumn id="9" xr3:uid="{617B49BB-7EDB-43CF-97EB-70E2E04EE07C}" name="Código 2">
      <calculatedColumnFormula>MATCH("Código",INDIRECT("'"&amp;B2&amp;"'!A"&amp;I2+1&amp;":A"&amp;H2+20),0)+I2</calculatedColumnFormula>
    </tableColumn>
    <tableColumn id="10" xr3:uid="{953D795D-4F20-4EE0-9BDA-10C03C91F4FC}" name="n bacias">
      <calculatedColumnFormula>COUNT(INDIRECT("'"&amp;B2&amp;"'!A"&amp;I2&amp;":A"&amp;J2))</calculatedColumnFormula>
    </tableColumn>
    <tableColumn id="11" xr3:uid="{C51DA894-05AF-4D17-9C3F-79D536875871}" name="i_bacia">
      <calculatedColumnFormula>COUNTIF($F$1:F2,F2)</calculatedColumnFormula>
    </tableColumn>
    <tableColumn id="12" xr3:uid="{A83D0B6E-BB94-4AD6-A2B3-6B7FD2A3A312}" name="CÓDIGO BDT" dataDxfId="2">
      <calculatedColumnFormula array="1">IF(Tabela2[[#This Row],[TIPO]]&lt;&gt;"BASE - POSTO FLU",_xlfn.XLOOKUP(Tabela2[[#This Row],[SUBBACIA]],INDIRECT("'"&amp;Tabela2[[#This Row],[MODELO]]&amp;"'!B1:B5000"),INDIRECT("'"&amp;Tabela2[[#This Row],[MODELO]]&amp;"'!A1:A5000")),"")</calculatedColumnFormula>
    </tableColumn>
    <tableColumn id="13" xr3:uid="{B81AB00A-701B-4133-B291-6408AE89C8A1}" name="CÓDIGO FLU ANA" dataDxfId="1">
      <calculatedColumnFormula array="1">IF(Tabela2[[#This Row],[TIPO]]="BASE - POSTO FLU",OFFSET(INDIRECT("'"&amp;Tabela2[[#This Row],[MODELO]]&amp;"'!A1"),MATCH("Sub-bacia modelada: "&amp;Tabela2[[#This Row],[SUBBACIA]],INDIRECT("'"&amp;Tabela2[[#This Row],[MODELO]]&amp;"'!A1:A5000"),0)+8,0),"")</calculatedColumnFormula>
    </tableColumn>
    <tableColumn id="14" xr3:uid="{7110A93E-9479-46B4-BC1C-AB82EE18FA12}" name="PSAT" dataDxfId="0">
      <calculatedColumnFormula array="1">IF(Tabela2[[#This Row],[TIPO]]="NÃO BASE","",INDEX('SMAP GRANDE E PARANAIBA'!$A$1:$A$5000,MATCH("Precipitação verificada:",OFFSET('SMAP GRANDE E PARANAIBA'!$A$1,MATCH("Sub-bacia modelada: "&amp;Tabela2[[#This Row],[SUBBACIA MODELADA]],'SMAP GRANDE E PARANAIBA'!$A$1:$A$5000,0),0,25,1),0)+MATCH("Sub-bacia modelada: "&amp;Tabela2[[#This Row],[SUBBACIA MODELADA]],'SMAP GRANDE E PARANAIBA'!$A$1:$A$5000,0)+3))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49C8-9665-4963-8E77-D8BBC79DF277}">
  <dimension ref="A1:G129"/>
  <sheetViews>
    <sheetView topLeftCell="A100" workbookViewId="0">
      <selection activeCell="K129" sqref="K129"/>
    </sheetView>
  </sheetViews>
  <sheetFormatPr defaultRowHeight="15" x14ac:dyDescent="0.25"/>
  <cols>
    <col min="1" max="1" width="10.7109375" bestFit="1" customWidth="1"/>
    <col min="2" max="3" width="6.7109375" bestFit="1" customWidth="1"/>
    <col min="4" max="4" width="2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-19.89</v>
      </c>
      <c r="C2">
        <v>-50.35</v>
      </c>
      <c r="D2" t="s">
        <v>8</v>
      </c>
    </row>
    <row r="3" spans="1:7" x14ac:dyDescent="0.25">
      <c r="A3" t="s">
        <v>9</v>
      </c>
      <c r="B3">
        <v>-21.28</v>
      </c>
      <c r="C3">
        <v>-44.63</v>
      </c>
      <c r="D3" t="s">
        <v>10</v>
      </c>
    </row>
    <row r="4" spans="1:7" x14ac:dyDescent="0.25">
      <c r="A4" t="s">
        <v>11</v>
      </c>
      <c r="B4">
        <v>-20.25</v>
      </c>
      <c r="C4">
        <v>-48.16</v>
      </c>
      <c r="D4" t="s">
        <v>12</v>
      </c>
    </row>
    <row r="5" spans="1:7" x14ac:dyDescent="0.25">
      <c r="A5" t="s">
        <v>13</v>
      </c>
      <c r="B5">
        <v>-21.6</v>
      </c>
      <c r="C5">
        <v>-46.95</v>
      </c>
      <c r="D5" t="s">
        <v>14</v>
      </c>
    </row>
    <row r="6" spans="1:7" x14ac:dyDescent="0.25">
      <c r="A6" t="s">
        <v>15</v>
      </c>
      <c r="B6">
        <v>-21.14</v>
      </c>
      <c r="C6">
        <v>-45.04</v>
      </c>
      <c r="D6" t="s">
        <v>16</v>
      </c>
    </row>
    <row r="7" spans="1:7" x14ac:dyDescent="0.25">
      <c r="A7" t="s">
        <v>17</v>
      </c>
      <c r="B7">
        <v>-20.67</v>
      </c>
      <c r="C7">
        <v>-46.32</v>
      </c>
      <c r="D7" t="s">
        <v>18</v>
      </c>
    </row>
    <row r="8" spans="1:7" x14ac:dyDescent="0.25">
      <c r="A8" t="s">
        <v>19</v>
      </c>
      <c r="B8">
        <v>-20.3</v>
      </c>
      <c r="C8">
        <v>-49.18</v>
      </c>
      <c r="D8" t="s">
        <v>20</v>
      </c>
    </row>
    <row r="9" spans="1:7" x14ac:dyDescent="0.25">
      <c r="A9" t="s">
        <v>21</v>
      </c>
      <c r="B9">
        <v>-21.59</v>
      </c>
      <c r="C9">
        <v>-45.67</v>
      </c>
      <c r="D9" t="s">
        <v>22</v>
      </c>
    </row>
    <row r="10" spans="1:7" x14ac:dyDescent="0.25">
      <c r="A10" t="s">
        <v>23</v>
      </c>
      <c r="B10">
        <v>-21.02</v>
      </c>
      <c r="C10">
        <v>-48.18</v>
      </c>
      <c r="D10" t="s">
        <v>24</v>
      </c>
    </row>
    <row r="11" spans="1:7" x14ac:dyDescent="0.25">
      <c r="A11" t="s">
        <v>25</v>
      </c>
      <c r="B11">
        <v>-21.61</v>
      </c>
      <c r="C11">
        <v>-45.49</v>
      </c>
      <c r="D11" t="s">
        <v>26</v>
      </c>
    </row>
    <row r="12" spans="1:7" x14ac:dyDescent="0.25">
      <c r="A12" t="s">
        <v>27</v>
      </c>
      <c r="B12">
        <v>-20</v>
      </c>
      <c r="C12">
        <v>-48.55</v>
      </c>
      <c r="D12" t="s">
        <v>28</v>
      </c>
    </row>
    <row r="13" spans="1:7" x14ac:dyDescent="0.25">
      <c r="A13" t="s">
        <v>29</v>
      </c>
      <c r="B13">
        <v>-26</v>
      </c>
      <c r="C13">
        <v>-51.65</v>
      </c>
      <c r="D13" t="s">
        <v>30</v>
      </c>
    </row>
    <row r="14" spans="1:7" x14ac:dyDescent="0.25">
      <c r="A14" t="s">
        <v>31</v>
      </c>
      <c r="B14">
        <v>-25.78</v>
      </c>
      <c r="C14">
        <v>-52</v>
      </c>
      <c r="D14" t="s">
        <v>32</v>
      </c>
    </row>
    <row r="15" spans="1:7" x14ac:dyDescent="0.25">
      <c r="A15" t="s">
        <v>33</v>
      </c>
      <c r="B15">
        <v>-25.53</v>
      </c>
      <c r="C15">
        <v>-53.48</v>
      </c>
      <c r="D15" t="s">
        <v>34</v>
      </c>
    </row>
    <row r="16" spans="1:7" x14ac:dyDescent="0.25">
      <c r="A16" t="s">
        <v>35</v>
      </c>
      <c r="B16">
        <v>-25.49</v>
      </c>
      <c r="C16">
        <v>-51.74</v>
      </c>
      <c r="D16" t="s">
        <v>36</v>
      </c>
    </row>
    <row r="17" spans="1:4" x14ac:dyDescent="0.25">
      <c r="A17" t="s">
        <v>37</v>
      </c>
      <c r="B17">
        <v>-26.23</v>
      </c>
      <c r="C17">
        <v>-51.08</v>
      </c>
      <c r="D17" t="s">
        <v>38</v>
      </c>
    </row>
    <row r="18" spans="1:4" x14ac:dyDescent="0.25">
      <c r="A18" t="s">
        <v>39</v>
      </c>
      <c r="B18">
        <v>-24.19</v>
      </c>
      <c r="C18">
        <v>-53.74</v>
      </c>
      <c r="D18" t="s">
        <v>40</v>
      </c>
    </row>
    <row r="19" spans="1:4" x14ac:dyDescent="0.25">
      <c r="A19" t="s">
        <v>41</v>
      </c>
      <c r="B19">
        <v>-22.97</v>
      </c>
      <c r="C19">
        <v>-54.56</v>
      </c>
      <c r="D19" t="s">
        <v>42</v>
      </c>
    </row>
    <row r="20" spans="1:4" x14ac:dyDescent="0.25">
      <c r="A20" t="s">
        <v>43</v>
      </c>
      <c r="B20">
        <v>-25.42</v>
      </c>
      <c r="C20">
        <v>-54.58</v>
      </c>
      <c r="D20" t="s">
        <v>44</v>
      </c>
    </row>
    <row r="21" spans="1:4" x14ac:dyDescent="0.25">
      <c r="A21" t="s">
        <v>45</v>
      </c>
      <c r="B21">
        <v>-22.38</v>
      </c>
      <c r="C21">
        <v>-53.53</v>
      </c>
      <c r="D21" t="s">
        <v>46</v>
      </c>
    </row>
    <row r="22" spans="1:4" x14ac:dyDescent="0.25">
      <c r="A22" t="s">
        <v>47</v>
      </c>
      <c r="B22">
        <v>-23.18</v>
      </c>
      <c r="C22">
        <v>-53.17</v>
      </c>
      <c r="D22" t="s">
        <v>48</v>
      </c>
    </row>
    <row r="23" spans="1:4" x14ac:dyDescent="0.25">
      <c r="A23" t="s">
        <v>49</v>
      </c>
      <c r="B23">
        <v>-17.989999999999998</v>
      </c>
      <c r="C23">
        <v>-48.54</v>
      </c>
      <c r="D23" t="s">
        <v>50</v>
      </c>
    </row>
    <row r="24" spans="1:4" x14ac:dyDescent="0.25">
      <c r="A24" t="s">
        <v>51</v>
      </c>
      <c r="B24">
        <v>-16.149999999999999</v>
      </c>
      <c r="C24">
        <v>-48.67</v>
      </c>
      <c r="D24" t="s">
        <v>52</v>
      </c>
    </row>
    <row r="25" spans="1:4" x14ac:dyDescent="0.25">
      <c r="A25" t="s">
        <v>53</v>
      </c>
      <c r="B25">
        <v>-18.45</v>
      </c>
      <c r="C25">
        <v>-47.98</v>
      </c>
      <c r="D25" t="s">
        <v>54</v>
      </c>
    </row>
    <row r="26" spans="1:4" x14ac:dyDescent="0.25">
      <c r="A26" t="s">
        <v>55</v>
      </c>
      <c r="B26">
        <v>-18.420000000000002</v>
      </c>
      <c r="C26">
        <v>-49.1</v>
      </c>
      <c r="D26" t="s">
        <v>56</v>
      </c>
    </row>
    <row r="27" spans="1:4" x14ac:dyDescent="0.25">
      <c r="A27" t="s">
        <v>57</v>
      </c>
      <c r="B27">
        <v>-19.13</v>
      </c>
      <c r="C27">
        <v>-47.7</v>
      </c>
      <c r="D27" t="s">
        <v>58</v>
      </c>
    </row>
    <row r="28" spans="1:4" x14ac:dyDescent="0.25">
      <c r="A28" t="s">
        <v>59</v>
      </c>
      <c r="B28">
        <v>-18.07</v>
      </c>
      <c r="C28">
        <v>-50.16</v>
      </c>
      <c r="D28" t="s">
        <v>60</v>
      </c>
    </row>
    <row r="29" spans="1:4" x14ac:dyDescent="0.25">
      <c r="A29" t="s">
        <v>61</v>
      </c>
      <c r="B29">
        <v>-18.05</v>
      </c>
      <c r="C29">
        <v>-47.68</v>
      </c>
      <c r="D29" t="s">
        <v>62</v>
      </c>
    </row>
    <row r="30" spans="1:4" x14ac:dyDescent="0.25">
      <c r="A30" t="s">
        <v>63</v>
      </c>
      <c r="B30">
        <v>-19.02</v>
      </c>
      <c r="C30">
        <v>-50.5</v>
      </c>
      <c r="D30" t="s">
        <v>64</v>
      </c>
    </row>
    <row r="31" spans="1:4" x14ac:dyDescent="0.25">
      <c r="A31" t="s">
        <v>65</v>
      </c>
      <c r="B31">
        <v>-22.94</v>
      </c>
      <c r="C31">
        <v>-50.52</v>
      </c>
      <c r="D31" t="s">
        <v>66</v>
      </c>
    </row>
    <row r="32" spans="1:4" x14ac:dyDescent="0.25">
      <c r="A32" t="s">
        <v>67</v>
      </c>
      <c r="B32">
        <v>-22.65</v>
      </c>
      <c r="C32">
        <v>-51.33</v>
      </c>
      <c r="D32" t="s">
        <v>68</v>
      </c>
    </row>
    <row r="33" spans="1:4" x14ac:dyDescent="0.25">
      <c r="A33" t="s">
        <v>69</v>
      </c>
      <c r="B33">
        <v>-23.01</v>
      </c>
      <c r="C33">
        <v>-49.73</v>
      </c>
      <c r="D33" t="s">
        <v>70</v>
      </c>
    </row>
    <row r="34" spans="1:4" x14ac:dyDescent="0.25">
      <c r="A34" t="s">
        <v>71</v>
      </c>
      <c r="B34">
        <v>-23.22</v>
      </c>
      <c r="C34">
        <v>-49.23</v>
      </c>
      <c r="D34" t="s">
        <v>72</v>
      </c>
    </row>
    <row r="35" spans="1:4" x14ac:dyDescent="0.25">
      <c r="A35" t="s">
        <v>73</v>
      </c>
      <c r="B35">
        <v>-24.06</v>
      </c>
      <c r="C35">
        <v>-50.71</v>
      </c>
      <c r="D35" t="s">
        <v>74</v>
      </c>
    </row>
    <row r="36" spans="1:4" x14ac:dyDescent="0.25">
      <c r="A36" t="s">
        <v>75</v>
      </c>
      <c r="B36">
        <v>-22.5</v>
      </c>
      <c r="C36">
        <v>-52.87</v>
      </c>
      <c r="D36" t="s">
        <v>76</v>
      </c>
    </row>
    <row r="37" spans="1:4" x14ac:dyDescent="0.25">
      <c r="A37" t="s">
        <v>77</v>
      </c>
      <c r="B37">
        <v>-16.21</v>
      </c>
      <c r="C37">
        <v>-47.33</v>
      </c>
      <c r="D37" t="s">
        <v>78</v>
      </c>
    </row>
    <row r="38" spans="1:4" x14ac:dyDescent="0.25">
      <c r="A38" t="s">
        <v>79</v>
      </c>
      <c r="B38">
        <v>-18.95</v>
      </c>
      <c r="C38">
        <v>-44.76</v>
      </c>
      <c r="D38" t="s">
        <v>80</v>
      </c>
    </row>
    <row r="39" spans="1:4" x14ac:dyDescent="0.25">
      <c r="A39" t="s">
        <v>81</v>
      </c>
      <c r="B39">
        <v>-15.93</v>
      </c>
      <c r="C39">
        <v>-44.86</v>
      </c>
      <c r="D39" t="s">
        <v>82</v>
      </c>
    </row>
    <row r="40" spans="1:4" x14ac:dyDescent="0.25">
      <c r="A40" t="s">
        <v>83</v>
      </c>
      <c r="B40">
        <v>-16.37</v>
      </c>
      <c r="C40">
        <v>-45.07</v>
      </c>
      <c r="D40" t="s">
        <v>84</v>
      </c>
    </row>
    <row r="41" spans="1:4" x14ac:dyDescent="0.25">
      <c r="A41" t="s">
        <v>85</v>
      </c>
      <c r="B41">
        <v>-18.16</v>
      </c>
      <c r="C41">
        <v>-45.27</v>
      </c>
      <c r="D41" t="s">
        <v>86</v>
      </c>
    </row>
    <row r="42" spans="1:4" x14ac:dyDescent="0.25">
      <c r="A42" t="s">
        <v>87</v>
      </c>
      <c r="B42">
        <v>-11.35</v>
      </c>
      <c r="C42">
        <v>-43.83</v>
      </c>
      <c r="D42" t="s">
        <v>88</v>
      </c>
    </row>
    <row r="43" spans="1:4" x14ac:dyDescent="0.25">
      <c r="A43" t="s">
        <v>89</v>
      </c>
      <c r="B43">
        <v>-22.52</v>
      </c>
      <c r="C43">
        <v>-48.55</v>
      </c>
      <c r="D43" t="s">
        <v>90</v>
      </c>
    </row>
    <row r="44" spans="1:4" x14ac:dyDescent="0.25">
      <c r="A44" t="s">
        <v>91</v>
      </c>
      <c r="B44">
        <v>-23.46</v>
      </c>
      <c r="C44">
        <v>-46.91</v>
      </c>
      <c r="D44" t="s">
        <v>92</v>
      </c>
    </row>
    <row r="45" spans="1:4" x14ac:dyDescent="0.25">
      <c r="A45" t="s">
        <v>93</v>
      </c>
      <c r="B45">
        <v>-21.76</v>
      </c>
      <c r="C45">
        <v>-48.99</v>
      </c>
      <c r="D45" t="s">
        <v>94</v>
      </c>
    </row>
    <row r="46" spans="1:4" x14ac:dyDescent="0.25">
      <c r="A46" t="s">
        <v>95</v>
      </c>
      <c r="B46">
        <v>-21.12</v>
      </c>
      <c r="C46">
        <v>-50.2</v>
      </c>
      <c r="D46" t="s">
        <v>96</v>
      </c>
    </row>
    <row r="47" spans="1:4" x14ac:dyDescent="0.25">
      <c r="A47" t="s">
        <v>97</v>
      </c>
      <c r="B47">
        <v>-13.4</v>
      </c>
      <c r="C47">
        <v>-48.3</v>
      </c>
      <c r="D47" t="s">
        <v>98</v>
      </c>
    </row>
    <row r="48" spans="1:4" x14ac:dyDescent="0.25">
      <c r="A48" t="s">
        <v>99</v>
      </c>
      <c r="B48">
        <v>-27.78</v>
      </c>
      <c r="C48">
        <v>-51.2</v>
      </c>
      <c r="D48" t="s">
        <v>100</v>
      </c>
    </row>
    <row r="49" spans="1:4" x14ac:dyDescent="0.25">
      <c r="A49" t="s">
        <v>101</v>
      </c>
      <c r="B49">
        <v>-27.6</v>
      </c>
      <c r="C49">
        <v>-51.33</v>
      </c>
      <c r="D49" t="s">
        <v>102</v>
      </c>
    </row>
    <row r="50" spans="1:4" x14ac:dyDescent="0.25">
      <c r="A50" t="s">
        <v>103</v>
      </c>
      <c r="B50">
        <v>-27.14</v>
      </c>
      <c r="C50">
        <v>-53.04</v>
      </c>
      <c r="D50" t="s">
        <v>104</v>
      </c>
    </row>
    <row r="51" spans="1:4" x14ac:dyDescent="0.25">
      <c r="A51" t="s">
        <v>105</v>
      </c>
      <c r="B51">
        <v>-27.27</v>
      </c>
      <c r="C51">
        <v>-52.38</v>
      </c>
      <c r="D51" t="s">
        <v>106</v>
      </c>
    </row>
    <row r="52" spans="1:4" x14ac:dyDescent="0.25">
      <c r="A52" t="s">
        <v>107</v>
      </c>
      <c r="B52">
        <v>-27.52</v>
      </c>
      <c r="C52">
        <v>-51.78</v>
      </c>
      <c r="D52" t="s">
        <v>108</v>
      </c>
    </row>
    <row r="53" spans="1:4" x14ac:dyDescent="0.25">
      <c r="A53" t="s">
        <v>109</v>
      </c>
      <c r="B53">
        <v>-27.35</v>
      </c>
      <c r="C53">
        <v>-52.73</v>
      </c>
      <c r="D53" t="s">
        <v>110</v>
      </c>
    </row>
    <row r="54" spans="1:4" x14ac:dyDescent="0.25">
      <c r="A54" t="s">
        <v>111</v>
      </c>
      <c r="B54">
        <v>-26.66</v>
      </c>
      <c r="C54">
        <v>-52.54</v>
      </c>
      <c r="D54" t="s">
        <v>112</v>
      </c>
    </row>
    <row r="55" spans="1:4" x14ac:dyDescent="0.25">
      <c r="A55" t="s">
        <v>113</v>
      </c>
      <c r="B55">
        <v>-28.14</v>
      </c>
      <c r="C55">
        <v>-55.05</v>
      </c>
      <c r="D55" t="s">
        <v>114</v>
      </c>
    </row>
    <row r="56" spans="1:4" x14ac:dyDescent="0.25">
      <c r="A56" t="s">
        <v>115</v>
      </c>
      <c r="B56">
        <v>-18.68</v>
      </c>
      <c r="C56">
        <v>-51.87</v>
      </c>
      <c r="D56" t="s">
        <v>116</v>
      </c>
    </row>
    <row r="57" spans="1:4" x14ac:dyDescent="0.25">
      <c r="A57" t="s">
        <v>117</v>
      </c>
      <c r="B57">
        <v>-19.16</v>
      </c>
      <c r="C57">
        <v>-50.76</v>
      </c>
      <c r="D57" t="s">
        <v>118</v>
      </c>
    </row>
    <row r="58" spans="1:4" x14ac:dyDescent="0.25">
      <c r="A58" t="s">
        <v>119</v>
      </c>
      <c r="B58">
        <v>-19.12</v>
      </c>
      <c r="C58">
        <v>-50.64</v>
      </c>
      <c r="D58" t="s">
        <v>120</v>
      </c>
    </row>
    <row r="59" spans="1:4" x14ac:dyDescent="0.25">
      <c r="A59" t="s">
        <v>121</v>
      </c>
      <c r="B59">
        <v>-20.399999999999999</v>
      </c>
      <c r="C59">
        <v>-51.35</v>
      </c>
      <c r="D59" t="s">
        <v>122</v>
      </c>
    </row>
    <row r="60" spans="1:4" x14ac:dyDescent="0.25">
      <c r="A60" t="s">
        <v>123</v>
      </c>
      <c r="B60">
        <v>-20.86</v>
      </c>
      <c r="C60">
        <v>-51.63</v>
      </c>
      <c r="D60" t="s">
        <v>124</v>
      </c>
    </row>
    <row r="61" spans="1:4" x14ac:dyDescent="0.25">
      <c r="A61" t="s">
        <v>125</v>
      </c>
      <c r="B61">
        <v>-20.059999999999999</v>
      </c>
      <c r="C61">
        <v>-53.18</v>
      </c>
      <c r="D61" t="s">
        <v>126</v>
      </c>
    </row>
    <row r="62" spans="1:4" x14ac:dyDescent="0.25">
      <c r="A62" t="s">
        <v>127</v>
      </c>
      <c r="B62">
        <v>-21.66</v>
      </c>
      <c r="C62">
        <v>-52.87</v>
      </c>
      <c r="D62" t="s">
        <v>128</v>
      </c>
    </row>
    <row r="63" spans="1:4" x14ac:dyDescent="0.25">
      <c r="A63" t="s">
        <v>129</v>
      </c>
      <c r="B63">
        <v>-22.46</v>
      </c>
      <c r="C63">
        <v>-52.91</v>
      </c>
      <c r="D63" t="s">
        <v>130</v>
      </c>
    </row>
    <row r="64" spans="1:4" x14ac:dyDescent="0.25">
      <c r="A64" t="s">
        <v>131</v>
      </c>
      <c r="B64">
        <v>-13.69</v>
      </c>
      <c r="C64">
        <v>-50.8</v>
      </c>
      <c r="D64" t="s">
        <v>132</v>
      </c>
    </row>
    <row r="65" spans="1:4" x14ac:dyDescent="0.25">
      <c r="A65" t="s">
        <v>133</v>
      </c>
      <c r="B65">
        <v>-8.27</v>
      </c>
      <c r="C65">
        <v>-49.26</v>
      </c>
      <c r="D65" t="s">
        <v>134</v>
      </c>
    </row>
    <row r="66" spans="1:4" x14ac:dyDescent="0.25">
      <c r="A66" t="s">
        <v>135</v>
      </c>
      <c r="B66">
        <v>-9.76</v>
      </c>
      <c r="C66">
        <v>-48.37</v>
      </c>
      <c r="D66" t="s">
        <v>136</v>
      </c>
    </row>
    <row r="67" spans="1:4" x14ac:dyDescent="0.25">
      <c r="A67" t="s">
        <v>137</v>
      </c>
      <c r="B67">
        <v>-9.31</v>
      </c>
      <c r="C67">
        <v>-47.39</v>
      </c>
      <c r="D67" t="s">
        <v>138</v>
      </c>
    </row>
    <row r="68" spans="1:4" x14ac:dyDescent="0.25">
      <c r="A68" t="s">
        <v>139</v>
      </c>
      <c r="B68">
        <v>-7.33</v>
      </c>
      <c r="C68">
        <v>-47.48</v>
      </c>
      <c r="D68" t="s">
        <v>140</v>
      </c>
    </row>
    <row r="69" spans="1:4" x14ac:dyDescent="0.25">
      <c r="A69" t="s">
        <v>141</v>
      </c>
      <c r="B69">
        <v>-3.83</v>
      </c>
      <c r="C69">
        <v>-49.65</v>
      </c>
      <c r="D69" t="s">
        <v>142</v>
      </c>
    </row>
    <row r="70" spans="1:4" x14ac:dyDescent="0.25">
      <c r="A70" t="s">
        <v>143</v>
      </c>
      <c r="B70">
        <v>-29.07</v>
      </c>
      <c r="C70">
        <v>-51.67</v>
      </c>
      <c r="D70" t="s">
        <v>144</v>
      </c>
    </row>
    <row r="71" spans="1:4" x14ac:dyDescent="0.25">
      <c r="A71" t="s">
        <v>145</v>
      </c>
      <c r="B71">
        <v>-29.45</v>
      </c>
      <c r="C71">
        <v>-53.28</v>
      </c>
      <c r="D71" t="s">
        <v>146</v>
      </c>
    </row>
    <row r="72" spans="1:4" x14ac:dyDescent="0.25">
      <c r="A72" t="s">
        <v>147</v>
      </c>
      <c r="B72">
        <v>-29.02</v>
      </c>
      <c r="C72">
        <v>-53.19</v>
      </c>
      <c r="D72" t="s">
        <v>148</v>
      </c>
    </row>
    <row r="73" spans="1:4" x14ac:dyDescent="0.25">
      <c r="A73" t="s">
        <v>149</v>
      </c>
      <c r="B73">
        <v>-29.01</v>
      </c>
      <c r="C73">
        <v>-51.39</v>
      </c>
      <c r="D73" t="s">
        <v>150</v>
      </c>
    </row>
    <row r="74" spans="1:4" x14ac:dyDescent="0.25">
      <c r="A74" t="s">
        <v>151</v>
      </c>
      <c r="B74">
        <v>-28.56</v>
      </c>
      <c r="C74">
        <v>-52.54</v>
      </c>
      <c r="D74" t="s">
        <v>152</v>
      </c>
    </row>
    <row r="75" spans="1:4" x14ac:dyDescent="0.25">
      <c r="A75" t="s">
        <v>153</v>
      </c>
      <c r="B75">
        <v>-27.14</v>
      </c>
      <c r="C75">
        <v>-49.52</v>
      </c>
      <c r="D75" t="s">
        <v>154</v>
      </c>
    </row>
    <row r="76" spans="1:4" x14ac:dyDescent="0.25">
      <c r="A76" t="s">
        <v>155</v>
      </c>
      <c r="B76">
        <v>-25.14</v>
      </c>
      <c r="C76">
        <v>-48.87</v>
      </c>
      <c r="D76" t="s">
        <v>156</v>
      </c>
    </row>
    <row r="77" spans="1:4" x14ac:dyDescent="0.25">
      <c r="A77" t="s">
        <v>157</v>
      </c>
      <c r="B77">
        <v>-12.6</v>
      </c>
      <c r="C77">
        <v>-69.12</v>
      </c>
      <c r="D77" t="s">
        <v>158</v>
      </c>
    </row>
    <row r="78" spans="1:4" x14ac:dyDescent="0.25">
      <c r="A78" t="s">
        <v>560</v>
      </c>
      <c r="B78" s="121">
        <v>-10.79</v>
      </c>
      <c r="C78" s="121">
        <v>-64.349999999999994</v>
      </c>
      <c r="D78" t="s">
        <v>159</v>
      </c>
    </row>
    <row r="79" spans="1:4" x14ac:dyDescent="0.25">
      <c r="A79" t="s">
        <v>561</v>
      </c>
      <c r="B79">
        <v>-12.42</v>
      </c>
      <c r="C79">
        <v>-64.42</v>
      </c>
      <c r="D79" t="s">
        <v>160</v>
      </c>
    </row>
    <row r="80" spans="1:4" x14ac:dyDescent="0.25">
      <c r="A80" t="s">
        <v>562</v>
      </c>
      <c r="B80">
        <v>-8.7899999999999991</v>
      </c>
      <c r="C80">
        <v>-63.95</v>
      </c>
      <c r="D80" t="s">
        <v>161</v>
      </c>
    </row>
    <row r="81" spans="1:4" x14ac:dyDescent="0.25">
      <c r="A81" t="s">
        <v>162</v>
      </c>
      <c r="B81">
        <v>-10.16</v>
      </c>
      <c r="C81">
        <v>-59.46</v>
      </c>
      <c r="D81" t="s">
        <v>163</v>
      </c>
    </row>
    <row r="82" spans="1:4" x14ac:dyDescent="0.25">
      <c r="A82" t="s">
        <v>164</v>
      </c>
      <c r="B82">
        <v>-15.12</v>
      </c>
      <c r="C82">
        <v>-58.96</v>
      </c>
      <c r="D82" t="s">
        <v>165</v>
      </c>
    </row>
    <row r="83" spans="1:4" x14ac:dyDescent="0.25">
      <c r="A83" t="s">
        <v>166</v>
      </c>
      <c r="B83">
        <v>-9.25</v>
      </c>
      <c r="C83">
        <v>-64.650000000000006</v>
      </c>
      <c r="D83" t="s">
        <v>167</v>
      </c>
    </row>
    <row r="84" spans="1:4" x14ac:dyDescent="0.25">
      <c r="A84" t="s">
        <v>168</v>
      </c>
      <c r="B84">
        <v>-11.99</v>
      </c>
      <c r="C84">
        <v>-60.7</v>
      </c>
      <c r="D84" t="s">
        <v>169</v>
      </c>
    </row>
    <row r="85" spans="1:4" x14ac:dyDescent="0.25">
      <c r="A85" t="s">
        <v>170</v>
      </c>
      <c r="B85">
        <v>-8.75</v>
      </c>
      <c r="C85">
        <v>-63.45</v>
      </c>
      <c r="D85" t="s">
        <v>171</v>
      </c>
    </row>
    <row r="86" spans="1:4" x14ac:dyDescent="0.25">
      <c r="A86" t="s">
        <v>172</v>
      </c>
      <c r="B86">
        <v>-6.74</v>
      </c>
      <c r="C86">
        <v>-52</v>
      </c>
      <c r="D86" t="s">
        <v>173</v>
      </c>
    </row>
    <row r="87" spans="1:4" x14ac:dyDescent="0.25">
      <c r="A87" t="s">
        <v>174</v>
      </c>
      <c r="B87">
        <v>-6.75</v>
      </c>
      <c r="C87">
        <v>-51.77</v>
      </c>
      <c r="D87" t="s">
        <v>175</v>
      </c>
    </row>
    <row r="88" spans="1:4" x14ac:dyDescent="0.25">
      <c r="A88" t="s">
        <v>176</v>
      </c>
      <c r="B88">
        <v>-3.41</v>
      </c>
      <c r="C88">
        <v>-51.91</v>
      </c>
      <c r="D88" t="s">
        <v>177</v>
      </c>
    </row>
    <row r="89" spans="1:4" x14ac:dyDescent="0.25">
      <c r="A89" t="s">
        <v>178</v>
      </c>
      <c r="B89">
        <v>-10.98</v>
      </c>
      <c r="C89">
        <v>-55.77</v>
      </c>
      <c r="D89" t="s">
        <v>179</v>
      </c>
    </row>
    <row r="90" spans="1:4" x14ac:dyDescent="0.25">
      <c r="A90" t="s">
        <v>180</v>
      </c>
      <c r="B90">
        <v>-9.19</v>
      </c>
      <c r="C90">
        <v>-57.04</v>
      </c>
      <c r="D90" t="s">
        <v>181</v>
      </c>
    </row>
    <row r="91" spans="1:4" x14ac:dyDescent="0.25">
      <c r="A91" t="s">
        <v>182</v>
      </c>
      <c r="B91">
        <v>-1.92</v>
      </c>
      <c r="C91">
        <v>-59.47</v>
      </c>
      <c r="D91" t="s">
        <v>183</v>
      </c>
    </row>
    <row r="92" spans="1:4" x14ac:dyDescent="0.25">
      <c r="A92" t="s">
        <v>184</v>
      </c>
      <c r="B92">
        <v>-2.82</v>
      </c>
      <c r="C92">
        <v>-54.3</v>
      </c>
      <c r="D92" t="s">
        <v>185</v>
      </c>
    </row>
    <row r="93" spans="1:4" x14ac:dyDescent="0.25">
      <c r="A93" t="s">
        <v>186</v>
      </c>
      <c r="B93">
        <v>-0.65</v>
      </c>
      <c r="C93">
        <v>-52.52</v>
      </c>
      <c r="D93" t="s">
        <v>187</v>
      </c>
    </row>
    <row r="94" spans="1:4" x14ac:dyDescent="0.25">
      <c r="A94" t="s">
        <v>188</v>
      </c>
      <c r="B94">
        <v>0.86</v>
      </c>
      <c r="C94">
        <v>-51.2</v>
      </c>
      <c r="D94" t="s">
        <v>189</v>
      </c>
    </row>
    <row r="95" spans="1:4" x14ac:dyDescent="0.25">
      <c r="A95" t="s">
        <v>190</v>
      </c>
      <c r="B95">
        <v>-16.739999999999998</v>
      </c>
      <c r="C95">
        <v>-42.57</v>
      </c>
      <c r="D95" t="s">
        <v>191</v>
      </c>
    </row>
    <row r="96" spans="1:4" x14ac:dyDescent="0.25">
      <c r="A96" t="s">
        <v>192</v>
      </c>
      <c r="B96">
        <v>-15.97</v>
      </c>
      <c r="C96">
        <v>-39.590000000000003</v>
      </c>
      <c r="D96" t="s">
        <v>193</v>
      </c>
    </row>
    <row r="97" spans="1:4" x14ac:dyDescent="0.25">
      <c r="A97" t="s">
        <v>194</v>
      </c>
      <c r="B97">
        <v>-6.75</v>
      </c>
      <c r="C97">
        <v>-43.57</v>
      </c>
      <c r="D97" t="s">
        <v>195</v>
      </c>
    </row>
    <row r="98" spans="1:4" x14ac:dyDescent="0.25">
      <c r="A98" t="s">
        <v>196</v>
      </c>
      <c r="B98">
        <v>-17.09</v>
      </c>
      <c r="C98">
        <v>-54.83</v>
      </c>
      <c r="D98" t="s">
        <v>197</v>
      </c>
    </row>
    <row r="99" spans="1:4" x14ac:dyDescent="0.25">
      <c r="A99" t="s">
        <v>198</v>
      </c>
      <c r="B99">
        <v>-15.24</v>
      </c>
      <c r="C99">
        <v>-58.73</v>
      </c>
      <c r="D99" t="s">
        <v>199</v>
      </c>
    </row>
    <row r="100" spans="1:4" x14ac:dyDescent="0.25">
      <c r="A100" t="s">
        <v>200</v>
      </c>
      <c r="B100">
        <v>-14.87</v>
      </c>
      <c r="C100">
        <v>-55.78</v>
      </c>
      <c r="D100" t="s">
        <v>201</v>
      </c>
    </row>
    <row r="101" spans="1:4" x14ac:dyDescent="0.25">
      <c r="A101" t="s">
        <v>202</v>
      </c>
      <c r="B101">
        <v>-17.61</v>
      </c>
      <c r="C101">
        <v>-54.83</v>
      </c>
      <c r="D101" t="s">
        <v>203</v>
      </c>
    </row>
    <row r="102" spans="1:4" x14ac:dyDescent="0.25">
      <c r="A102" t="s">
        <v>204</v>
      </c>
      <c r="B102">
        <v>-12.58</v>
      </c>
      <c r="C102">
        <v>-39</v>
      </c>
      <c r="D102" t="s">
        <v>205</v>
      </c>
    </row>
    <row r="103" spans="1:4" x14ac:dyDescent="0.25">
      <c r="A103" t="s">
        <v>206</v>
      </c>
      <c r="B103">
        <v>-17.899999999999999</v>
      </c>
      <c r="C103">
        <v>-40.200000000000003</v>
      </c>
      <c r="D103" t="s">
        <v>36</v>
      </c>
    </row>
    <row r="104" spans="1:4" x14ac:dyDescent="0.25">
      <c r="A104" t="s">
        <v>207</v>
      </c>
      <c r="B104">
        <v>-20.92</v>
      </c>
      <c r="C104">
        <v>-41.72</v>
      </c>
      <c r="D104" t="s">
        <v>208</v>
      </c>
    </row>
    <row r="105" spans="1:4" x14ac:dyDescent="0.25">
      <c r="A105" t="s">
        <v>209</v>
      </c>
      <c r="B105">
        <v>-20.21</v>
      </c>
      <c r="C105">
        <v>-42.85</v>
      </c>
      <c r="D105" t="s">
        <v>210</v>
      </c>
    </row>
    <row r="106" spans="1:4" x14ac:dyDescent="0.25">
      <c r="A106" t="s">
        <v>211</v>
      </c>
      <c r="B106">
        <v>-19.64</v>
      </c>
      <c r="C106">
        <v>-42.85</v>
      </c>
      <c r="D106" t="s">
        <v>212</v>
      </c>
    </row>
    <row r="107" spans="1:4" x14ac:dyDescent="0.25">
      <c r="A107" t="s">
        <v>213</v>
      </c>
      <c r="B107">
        <v>-19.12</v>
      </c>
      <c r="C107">
        <v>-42.66</v>
      </c>
      <c r="D107" t="s">
        <v>214</v>
      </c>
    </row>
    <row r="108" spans="1:4" x14ac:dyDescent="0.25">
      <c r="A108" t="s">
        <v>215</v>
      </c>
      <c r="B108">
        <v>-19.5</v>
      </c>
      <c r="C108">
        <v>-40.92</v>
      </c>
      <c r="D108" t="s">
        <v>216</v>
      </c>
    </row>
    <row r="109" spans="1:4" x14ac:dyDescent="0.25">
      <c r="A109" t="s">
        <v>217</v>
      </c>
      <c r="B109">
        <v>-23.37</v>
      </c>
      <c r="C109">
        <v>-45.87</v>
      </c>
      <c r="D109" t="s">
        <v>218</v>
      </c>
    </row>
    <row r="110" spans="1:4" x14ac:dyDescent="0.25">
      <c r="A110" t="s">
        <v>219</v>
      </c>
      <c r="B110">
        <v>-23.2</v>
      </c>
      <c r="C110">
        <v>-46.03</v>
      </c>
      <c r="D110" t="s">
        <v>220</v>
      </c>
    </row>
    <row r="111" spans="1:4" x14ac:dyDescent="0.25">
      <c r="A111" t="s">
        <v>221</v>
      </c>
      <c r="B111">
        <v>-22.53</v>
      </c>
      <c r="C111">
        <v>-44.57</v>
      </c>
      <c r="D111" t="s">
        <v>16</v>
      </c>
    </row>
    <row r="112" spans="1:4" x14ac:dyDescent="0.25">
      <c r="A112" t="s">
        <v>222</v>
      </c>
      <c r="B112">
        <v>-22.48</v>
      </c>
      <c r="C112">
        <v>-43.84</v>
      </c>
      <c r="D112" t="s">
        <v>223</v>
      </c>
    </row>
    <row r="113" spans="1:4" x14ac:dyDescent="0.25">
      <c r="A113" t="s">
        <v>224</v>
      </c>
      <c r="B113">
        <v>-21.91</v>
      </c>
      <c r="C113">
        <v>-43.54</v>
      </c>
      <c r="D113" t="s">
        <v>225</v>
      </c>
    </row>
    <row r="114" spans="1:4" x14ac:dyDescent="0.25">
      <c r="A114" t="s">
        <v>226</v>
      </c>
      <c r="B114">
        <v>-21.94</v>
      </c>
      <c r="C114">
        <v>-43.36</v>
      </c>
      <c r="D114" t="s">
        <v>227</v>
      </c>
    </row>
    <row r="115" spans="1:4" x14ac:dyDescent="0.25">
      <c r="A115" t="s">
        <v>228</v>
      </c>
      <c r="B115">
        <v>-21.84</v>
      </c>
      <c r="C115">
        <v>-42.58</v>
      </c>
      <c r="D115" t="s">
        <v>229</v>
      </c>
    </row>
    <row r="116" spans="1:4" x14ac:dyDescent="0.25">
      <c r="A116" t="s">
        <v>230</v>
      </c>
      <c r="B116">
        <v>-22.69</v>
      </c>
      <c r="C116">
        <v>-43.83</v>
      </c>
      <c r="D116" t="s">
        <v>231</v>
      </c>
    </row>
    <row r="117" spans="1:4" x14ac:dyDescent="0.25">
      <c r="A117" t="s">
        <v>232</v>
      </c>
      <c r="B117">
        <v>-25.51</v>
      </c>
      <c r="C117">
        <v>-53.67</v>
      </c>
      <c r="D117" t="s">
        <v>233</v>
      </c>
    </row>
    <row r="118" spans="1:4" x14ac:dyDescent="0.25">
      <c r="A118" t="s">
        <v>234</v>
      </c>
      <c r="B118">
        <v>-21.45</v>
      </c>
      <c r="C118">
        <v>-42.41</v>
      </c>
      <c r="D118" t="s">
        <v>235</v>
      </c>
    </row>
    <row r="119" spans="1:4" x14ac:dyDescent="0.25">
      <c r="A119" t="s">
        <v>236</v>
      </c>
      <c r="B119">
        <v>-20.079999999999998</v>
      </c>
      <c r="C119">
        <v>-40.58</v>
      </c>
      <c r="D119" t="s">
        <v>237</v>
      </c>
    </row>
    <row r="120" spans="1:4" x14ac:dyDescent="0.25">
      <c r="A120" t="s">
        <v>553</v>
      </c>
      <c r="B120">
        <v>-11.71</v>
      </c>
      <c r="C120">
        <v>-70.63</v>
      </c>
      <c r="D120" t="s">
        <v>546</v>
      </c>
    </row>
    <row r="121" spans="1:4" x14ac:dyDescent="0.25">
      <c r="A121" t="s">
        <v>554</v>
      </c>
      <c r="B121">
        <v>-12.37</v>
      </c>
      <c r="C121">
        <v>-71.17</v>
      </c>
      <c r="D121" t="s">
        <v>547</v>
      </c>
    </row>
    <row r="122" spans="1:4" x14ac:dyDescent="0.25">
      <c r="A122" t="s">
        <v>555</v>
      </c>
      <c r="B122">
        <v>-13.75</v>
      </c>
      <c r="C122">
        <v>-70.180000000000007</v>
      </c>
      <c r="D122" t="s">
        <v>548</v>
      </c>
    </row>
    <row r="123" spans="1:4" x14ac:dyDescent="0.25">
      <c r="A123" t="s">
        <v>556</v>
      </c>
      <c r="B123">
        <v>-13.45</v>
      </c>
      <c r="C123">
        <v>-69.47</v>
      </c>
      <c r="D123" t="s">
        <v>549</v>
      </c>
    </row>
    <row r="124" spans="1:4" x14ac:dyDescent="0.25">
      <c r="A124" t="s">
        <v>557</v>
      </c>
      <c r="B124">
        <v>-9.3000000000000007</v>
      </c>
      <c r="C124">
        <v>-64.7</v>
      </c>
      <c r="D124" t="s">
        <v>550</v>
      </c>
    </row>
    <row r="125" spans="1:4" x14ac:dyDescent="0.25">
      <c r="A125" t="s">
        <v>558</v>
      </c>
      <c r="B125">
        <v>-14.59</v>
      </c>
      <c r="C125">
        <v>-67.53</v>
      </c>
      <c r="D125" t="s">
        <v>551</v>
      </c>
    </row>
    <row r="126" spans="1:4" x14ac:dyDescent="0.25">
      <c r="A126" t="s">
        <v>559</v>
      </c>
      <c r="B126">
        <v>-9.9</v>
      </c>
      <c r="C126">
        <v>-66.62</v>
      </c>
      <c r="D126" t="s">
        <v>552</v>
      </c>
    </row>
    <row r="127" spans="1:4" x14ac:dyDescent="0.25">
      <c r="A127" t="s">
        <v>572</v>
      </c>
      <c r="B127">
        <v>-13.37</v>
      </c>
      <c r="C127">
        <v>-59.01</v>
      </c>
      <c r="D127" t="s">
        <v>575</v>
      </c>
    </row>
    <row r="128" spans="1:4" x14ac:dyDescent="0.25">
      <c r="A128" t="s">
        <v>573</v>
      </c>
      <c r="B128">
        <v>-10.34</v>
      </c>
      <c r="C128">
        <v>-56.98</v>
      </c>
      <c r="D128" t="s">
        <v>577</v>
      </c>
    </row>
    <row r="129" spans="1:4" x14ac:dyDescent="0.25">
      <c r="A129" t="s">
        <v>582</v>
      </c>
      <c r="B129">
        <v>-50.679000000000002</v>
      </c>
      <c r="C129">
        <v>-29.315000000000001</v>
      </c>
      <c r="D129" t="s">
        <v>581</v>
      </c>
    </row>
  </sheetData>
  <phoneticPr fontId="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D6E7-0D7D-4678-9927-364F7FB74E7C}">
  <dimension ref="A1:O174"/>
  <sheetViews>
    <sheetView tabSelected="1" workbookViewId="0">
      <pane xSplit="1" ySplit="1" topLeftCell="B92" activePane="bottomRight" state="frozen"/>
      <selection pane="topRight"/>
      <selection pane="bottomLeft"/>
      <selection pane="bottomRight" activeCell="J104" sqref="J104"/>
    </sheetView>
  </sheetViews>
  <sheetFormatPr defaultRowHeight="15" x14ac:dyDescent="0.25"/>
  <cols>
    <col min="1" max="1" width="3" bestFit="1" customWidth="1"/>
    <col min="2" max="2" width="27" bestFit="1" customWidth="1"/>
    <col min="3" max="3" width="14.5703125" bestFit="1" customWidth="1"/>
    <col min="4" max="4" width="19" customWidth="1"/>
    <col min="5" max="5" width="22.5703125" bestFit="1" customWidth="1"/>
    <col min="6" max="7" width="23" bestFit="1" customWidth="1"/>
    <col min="8" max="8" width="9.140625" customWidth="1"/>
    <col min="9" max="9" width="10.7109375" customWidth="1"/>
    <col min="10" max="10" width="10.85546875" bestFit="1" customWidth="1"/>
    <col min="11" max="11" width="10.140625" customWidth="1"/>
    <col min="12" max="12" width="9.28515625" customWidth="1"/>
    <col min="13" max="13" width="14.140625" customWidth="1"/>
    <col min="14" max="14" width="18.85546875" customWidth="1"/>
    <col min="15" max="15" width="12.140625" customWidth="1"/>
  </cols>
  <sheetData>
    <row r="1" spans="1:15" x14ac:dyDescent="0.25"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</row>
    <row r="2" spans="1:15" x14ac:dyDescent="0.25">
      <c r="A2">
        <v>1</v>
      </c>
      <c r="B2" t="s">
        <v>252</v>
      </c>
      <c r="C2" t="s">
        <v>253</v>
      </c>
      <c r="D2" t="s">
        <v>254</v>
      </c>
      <c r="E2" t="str" cm="1">
        <f t="array" aca="1" ref="E2" ca="1">IF(K2=0,F2,TRIM(OFFSET(INDIRECT("'"&amp;B2&amp;"'!A1"),I2+L2,1)))</f>
        <v>Camargos</v>
      </c>
      <c r="F2" t="str" cm="1">
        <f t="array" aca="1" ref="F2" ca="1">TRIM(SUBSTITUTE(INDEX(INDIRECT("'"&amp;B2&amp;"'!A1:A1000"),H2),"Sub-bacia modelada:",""))</f>
        <v>Camargos</v>
      </c>
      <c r="G2" t="str">
        <f ca="1">IF(K2=0,"BASE - POSTO FLU",IF(OR(E2=F2,K2=1),"BASE - RESERVATÓRIO","NÃO BASE"))</f>
        <v>BASE - RESERVATÓRIO</v>
      </c>
      <c r="H2" cm="1">
        <f t="array" aca="1" ref="H2" ca="1">SMALL(ROW(INDIRECT("'"&amp;B2&amp;"'!A1:A1000"))*IF(ISNUMBER(FIND("Sub-bacia modelada:",INDIRECT("'"&amp;B2&amp;"'!A1:A1000"))),1,9999),RESUMO!A2)</f>
        <v>1</v>
      </c>
      <c r="I2">
        <f t="shared" ref="I2:I33" ca="1" si="0">MATCH("Código",INDIRECT("'"&amp;B2&amp;"'!A"&amp;H2&amp;":A"&amp;H2+20),0)+H2-1</f>
        <v>4</v>
      </c>
      <c r="J2">
        <f t="shared" ref="J2:J33" ca="1" si="1">MATCH("Código",INDIRECT("'"&amp;B2&amp;"'!A"&amp;I2+1&amp;":A"&amp;H2+20),0)+I2</f>
        <v>9</v>
      </c>
      <c r="K2">
        <f t="shared" ref="K2:K33" ca="1" si="2">COUNT(INDIRECT("'"&amp;B2&amp;"'!A"&amp;I2&amp;":A"&amp;J2))</f>
        <v>2</v>
      </c>
      <c r="L2">
        <f ca="1">COUNTIF($F$1:F2,F2)</f>
        <v>1</v>
      </c>
      <c r="M2" cm="1">
        <f t="array" aca="1" ref="M2" ca="1">IF(Tabela2[[#This Row],[TIPO]]&lt;&gt;"BASE - POSTO FLU",_xlfn.XLOOKUP(Tabela2[[#This Row],[SUBBACIA]],INDIRECT("'"&amp;Tabela2[[#This Row],[MODELO]]&amp;"'!B1:B5000"),INDIRECT("'"&amp;Tabela2[[#This Row],[MODELO]]&amp;"'!A1:A5000")),"")</f>
        <v>1</v>
      </c>
      <c r="N2" t="str" cm="1">
        <f t="array" aca="1" ref="N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" t="str" cm="1">
        <f t="array" aca="1" ref="O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PSATCMG</v>
      </c>
    </row>
    <row r="3" spans="1:15" x14ac:dyDescent="0.25">
      <c r="A3">
        <f t="shared" ref="A3:A40" ca="1" si="3">IF(AND(K2&gt;1,L2&lt;&gt;K2),A2,A2+1)</f>
        <v>1</v>
      </c>
      <c r="B3" t="s">
        <v>252</v>
      </c>
      <c r="C3" t="s">
        <v>253</v>
      </c>
      <c r="D3" t="s">
        <v>254</v>
      </c>
      <c r="E3" t="str" cm="1">
        <f t="array" aca="1" ref="E3" ca="1">IF(K3=0,F3,TRIM(OFFSET(INDIRECT("'"&amp;B3&amp;"'!A1"),I3+L3,1)))</f>
        <v>Itutinga</v>
      </c>
      <c r="F3" t="str" cm="1">
        <f t="array" aca="1" ref="F3" ca="1">TRIM(SUBSTITUTE(INDEX(INDIRECT("'"&amp;B3&amp;"'!A1:A1000"),H3),"Sub-bacia modelada:",""))</f>
        <v>Camargos</v>
      </c>
      <c r="G3" t="str">
        <f t="shared" ref="G3:G66" ca="1" si="4">IF(K3=0,"BASE - POSTO FLU",IF(OR(E3=F3,K3=1),"BASE - RESERVATÓRIO","NÃO BASE"))</f>
        <v>NÃO BASE</v>
      </c>
      <c r="H3" cm="1">
        <f t="array" aca="1" ref="H3" ca="1">SMALL(ROW(INDIRECT("'"&amp;B3&amp;"'!A1:A1000"))*IF(ISNUMBER(FIND("Sub-bacia modelada:",INDIRECT("'"&amp;B3&amp;"'!A1:A1000"))),1,9999),RESUMO!A3)</f>
        <v>1</v>
      </c>
      <c r="I3">
        <f t="shared" ca="1" si="0"/>
        <v>4</v>
      </c>
      <c r="J3">
        <f t="shared" ca="1" si="1"/>
        <v>9</v>
      </c>
      <c r="K3">
        <f t="shared" ca="1" si="2"/>
        <v>2</v>
      </c>
      <c r="L3">
        <f ca="1">COUNTIF($F$1:F3,F3)</f>
        <v>2</v>
      </c>
      <c r="M3" cm="1">
        <f t="array" aca="1" ref="M3" ca="1">IF(Tabela2[[#This Row],[TIPO]]&lt;&gt;"BASE - POSTO FLU",_xlfn.XLOOKUP(Tabela2[[#This Row],[SUBBACIA]],INDIRECT("'"&amp;Tabela2[[#This Row],[MODELO]]&amp;"'!B1:B5000"),INDIRECT("'"&amp;Tabela2[[#This Row],[MODELO]]&amp;"'!A1:A5000")),"")</f>
        <v>2</v>
      </c>
      <c r="N3" t="str" cm="1">
        <f t="array" aca="1" ref="N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3" t="str" cm="1">
        <f t="array" aca="1" ref="O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4" spans="1:15" x14ac:dyDescent="0.25">
      <c r="A4">
        <f t="shared" ca="1" si="3"/>
        <v>2</v>
      </c>
      <c r="B4" t="s">
        <v>252</v>
      </c>
      <c r="C4" t="s">
        <v>253</v>
      </c>
      <c r="D4" t="s">
        <v>254</v>
      </c>
      <c r="E4" t="str" cm="1">
        <f t="array" aca="1" ref="E4" ca="1">IF(K4=0,F4,TRIM(OFFSET(INDIRECT("'"&amp;B4&amp;"'!A1"),I4+L4,1)))</f>
        <v>Funil-MG</v>
      </c>
      <c r="F4" t="str" cm="1">
        <f t="array" aca="1" ref="F4" ca="1">TRIM(SUBSTITUTE(INDEX(INDIRECT("'"&amp;B4&amp;"'!A1:A1000"),H4),"Sub-bacia modelada:",""))</f>
        <v>Funil-MG</v>
      </c>
      <c r="G4" t="str">
        <f t="shared" ca="1" si="4"/>
        <v>BASE - RESERVATÓRIO</v>
      </c>
      <c r="H4" cm="1">
        <f t="array" aca="1" ref="H4" ca="1">SMALL(ROW(INDIRECT("'"&amp;B4&amp;"'!A1:A1000"))*IF(ISNUMBER(FIND("Sub-bacia modelada:",INDIRECT("'"&amp;B4&amp;"'!A1:A1000"))),1,9999),RESUMO!A4)</f>
        <v>23</v>
      </c>
      <c r="I4">
        <f t="shared" ca="1" si="0"/>
        <v>26</v>
      </c>
      <c r="J4">
        <f t="shared" ca="1" si="1"/>
        <v>30</v>
      </c>
      <c r="K4">
        <f t="shared" ca="1" si="2"/>
        <v>1</v>
      </c>
      <c r="L4">
        <f ca="1">COUNTIF($F$1:F4,F4)</f>
        <v>1</v>
      </c>
      <c r="M4" cm="1">
        <f t="array" aca="1" ref="M4" ca="1">IF(Tabela2[[#This Row],[TIPO]]&lt;&gt;"BASE - POSTO FLU",_xlfn.XLOOKUP(Tabela2[[#This Row],[SUBBACIA]],INDIRECT("'"&amp;Tabela2[[#This Row],[MODELO]]&amp;"'!B1:B5000"),INDIRECT("'"&amp;Tabela2[[#This Row],[MODELO]]&amp;"'!A1:A5000")),"")</f>
        <v>211</v>
      </c>
      <c r="N4" t="str" cm="1">
        <f t="array" aca="1" ref="N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" t="str" cm="1">
        <f t="array" aca="1" ref="O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PSATFUN</v>
      </c>
    </row>
    <row r="5" spans="1:15" x14ac:dyDescent="0.25">
      <c r="A5">
        <f t="shared" ca="1" si="3"/>
        <v>3</v>
      </c>
      <c r="B5" t="s">
        <v>252</v>
      </c>
      <c r="C5" t="s">
        <v>253</v>
      </c>
      <c r="D5" t="s">
        <v>254</v>
      </c>
      <c r="E5" t="str" cm="1">
        <f t="array" aca="1" ref="E5" ca="1">IF(K5=0,F5,TRIM(OFFSET(INDIRECT("'"&amp;B5&amp;"'!A1"),I5+L5,1)))</f>
        <v>Furnas</v>
      </c>
      <c r="F5" t="str" cm="1">
        <f t="array" aca="1" ref="F5" ca="1">TRIM(SUBSTITUTE(INDEX(INDIRECT("'"&amp;B5&amp;"'!A1:A1000"),H5),"Sub-bacia modelada:",""))</f>
        <v>Furnas</v>
      </c>
      <c r="G5" t="str">
        <f t="shared" ca="1" si="4"/>
        <v>BASE - RESERVATÓRIO</v>
      </c>
      <c r="H5" cm="1">
        <f t="array" aca="1" ref="H5" ca="1">SMALL(ROW(INDIRECT("'"&amp;B5&amp;"'!A1:A1000"))*IF(ISNUMBER(FIND("Sub-bacia modelada:",INDIRECT("'"&amp;B5&amp;"'!A1:A1000"))),1,9999),RESUMO!A5)</f>
        <v>44</v>
      </c>
      <c r="I5">
        <f t="shared" ca="1" si="0"/>
        <v>47</v>
      </c>
      <c r="J5">
        <f t="shared" ca="1" si="1"/>
        <v>51</v>
      </c>
      <c r="K5">
        <f t="shared" ca="1" si="2"/>
        <v>1</v>
      </c>
      <c r="L5">
        <f ca="1">COUNTIF($F$1:F5,F5)</f>
        <v>1</v>
      </c>
      <c r="M5" cm="1">
        <f t="array" aca="1" ref="M5" ca="1">IF(Tabela2[[#This Row],[TIPO]]&lt;&gt;"BASE - POSTO FLU",_xlfn.XLOOKUP(Tabela2[[#This Row],[SUBBACIA]],INDIRECT("'"&amp;Tabela2[[#This Row],[MODELO]]&amp;"'!B1:B5000"),INDIRECT("'"&amp;Tabela2[[#This Row],[MODELO]]&amp;"'!A1:A5000")),"")</f>
        <v>6</v>
      </c>
      <c r="N5" t="str" cm="1">
        <f t="array" aca="1" ref="N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5" t="str" cm="1">
        <f t="array" aca="1" ref="O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PSATFUR</v>
      </c>
    </row>
    <row r="6" spans="1:15" x14ac:dyDescent="0.25">
      <c r="A6">
        <f t="shared" ca="1" si="3"/>
        <v>4</v>
      </c>
      <c r="B6" t="s">
        <v>252</v>
      </c>
      <c r="C6" t="s">
        <v>253</v>
      </c>
      <c r="D6" t="s">
        <v>254</v>
      </c>
      <c r="E6" t="str" cm="1">
        <f t="array" aca="1" ref="E6" ca="1">IF(K6=0,F6,TRIM(OFFSET(INDIRECT("'"&amp;B6&amp;"'!A1"),I6+L6,1)))</f>
        <v>Paraguaçu</v>
      </c>
      <c r="F6" t="str" cm="1">
        <f t="array" aca="1" ref="F6" ca="1">TRIM(SUBSTITUTE(INDEX(INDIRECT("'"&amp;B6&amp;"'!A1:A1000"),H6),"Sub-bacia modelada:",""))</f>
        <v>Paraguaçu</v>
      </c>
      <c r="G6" t="str">
        <f t="shared" ca="1" si="4"/>
        <v>BASE - POSTO FLU</v>
      </c>
      <c r="H6" cm="1">
        <f t="array" aca="1" ref="H6" ca="1">SMALL(ROW(INDIRECT("'"&amp;B6&amp;"'!A1:A1000"))*IF(ISNUMBER(FIND("Sub-bacia modelada:",INDIRECT("'"&amp;B6&amp;"'!A1:A1000"))),1,9999),RESUMO!A6)</f>
        <v>66</v>
      </c>
      <c r="I6">
        <f t="shared" ca="1" si="0"/>
        <v>69</v>
      </c>
      <c r="J6">
        <f t="shared" ca="1" si="1"/>
        <v>73</v>
      </c>
      <c r="K6">
        <f t="shared" ca="1" si="2"/>
        <v>0</v>
      </c>
      <c r="L6">
        <f ca="1">COUNTIF($F$1:F6,F6)</f>
        <v>1</v>
      </c>
      <c r="M6" t="str" cm="1">
        <f t="array" aca="1" ref="M6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6" cm="1">
        <f t="array" aca="1" ref="N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61425000</v>
      </c>
      <c r="O6" t="str" cm="1">
        <f t="array" aca="1" ref="O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PSATPRG</v>
      </c>
    </row>
    <row r="7" spans="1:15" x14ac:dyDescent="0.25">
      <c r="A7">
        <f t="shared" ca="1" si="3"/>
        <v>5</v>
      </c>
      <c r="B7" t="s">
        <v>252</v>
      </c>
      <c r="C7" t="s">
        <v>253</v>
      </c>
      <c r="D7" t="s">
        <v>254</v>
      </c>
      <c r="E7" t="str" cm="1">
        <f t="array" aca="1" ref="E7" ca="1">IF(K7=0,F7,TRIM(OFFSET(INDIRECT("'"&amp;B7&amp;"'!A1"),I7+L7,1)))</f>
        <v>Porto dos Buenos</v>
      </c>
      <c r="F7" t="str" cm="1">
        <f t="array" aca="1" ref="F7" ca="1">TRIM(SUBSTITUTE(INDEX(INDIRECT("'"&amp;B7&amp;"'!A1:A1000"),H7),"Sub-bacia modelada:",""))</f>
        <v>Porto dos Buenos</v>
      </c>
      <c r="G7" t="str">
        <f t="shared" ca="1" si="4"/>
        <v>BASE - POSTO FLU</v>
      </c>
      <c r="H7" cm="1">
        <f t="array" aca="1" ref="H7" ca="1">SMALL(ROW(INDIRECT("'"&amp;B7&amp;"'!A1:A1000"))*IF(ISNUMBER(FIND("Sub-bacia modelada:",INDIRECT("'"&amp;B7&amp;"'!A1:A1000"))),1,9999),RESUMO!A7)</f>
        <v>87</v>
      </c>
      <c r="I7">
        <f t="shared" ca="1" si="0"/>
        <v>90</v>
      </c>
      <c r="J7">
        <f t="shared" ca="1" si="1"/>
        <v>94</v>
      </c>
      <c r="K7">
        <f t="shared" ca="1" si="2"/>
        <v>0</v>
      </c>
      <c r="L7">
        <f ca="1">COUNTIF($F$1:F7,F7)</f>
        <v>1</v>
      </c>
      <c r="M7" t="str" cm="1">
        <f t="array" aca="1" ref="M7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7" cm="1">
        <f t="array" aca="1" ref="N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61537000</v>
      </c>
      <c r="O7" t="str" cm="1">
        <f t="array" aca="1" ref="O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PSATPTB</v>
      </c>
    </row>
    <row r="8" spans="1:15" x14ac:dyDescent="0.25">
      <c r="A8">
        <f t="shared" ca="1" si="3"/>
        <v>6</v>
      </c>
      <c r="B8" t="s">
        <v>252</v>
      </c>
      <c r="C8" t="s">
        <v>253</v>
      </c>
      <c r="D8" t="s">
        <v>254</v>
      </c>
      <c r="E8" t="str" cm="1">
        <f t="array" aca="1" ref="E8" ca="1">IF(K8=0,F8,TRIM(OFFSET(INDIRECT("'"&amp;B8&amp;"'!A1"),I8+L8,1)))</f>
        <v>Capão Escuro</v>
      </c>
      <c r="F8" t="str" cm="1">
        <f t="array" aca="1" ref="F8" ca="1">TRIM(SUBSTITUTE(INDEX(INDIRECT("'"&amp;B8&amp;"'!A1:A1000"),H8),"Sub-bacia modelada:",""))</f>
        <v>Capão Escuro</v>
      </c>
      <c r="G8" t="str">
        <f t="shared" ca="1" si="4"/>
        <v>BASE - POSTO FLU</v>
      </c>
      <c r="H8" cm="1">
        <f t="array" aca="1" ref="H8" ca="1">SMALL(ROW(INDIRECT("'"&amp;B8&amp;"'!A1:A1000"))*IF(ISNUMBER(FIND("Sub-bacia modelada:",INDIRECT("'"&amp;B8&amp;"'!A1:A1000"))),1,9999),RESUMO!A8)</f>
        <v>108</v>
      </c>
      <c r="I8">
        <f t="shared" ca="1" si="0"/>
        <v>111</v>
      </c>
      <c r="J8">
        <f t="shared" ca="1" si="1"/>
        <v>115</v>
      </c>
      <c r="K8">
        <f t="shared" ca="1" si="2"/>
        <v>0</v>
      </c>
      <c r="L8">
        <f ca="1">COUNTIF($F$1:F8,F8)</f>
        <v>1</v>
      </c>
      <c r="M8" t="str" cm="1">
        <f t="array" aca="1" ref="M8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8" cm="1">
        <f t="array" aca="1" ref="N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61787000</v>
      </c>
      <c r="O8" t="str" cm="1">
        <f t="array" aca="1" ref="O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PSATCES</v>
      </c>
    </row>
    <row r="9" spans="1:15" x14ac:dyDescent="0.25">
      <c r="A9">
        <f t="shared" ca="1" si="3"/>
        <v>7</v>
      </c>
      <c r="B9" t="s">
        <v>252</v>
      </c>
      <c r="C9" t="s">
        <v>253</v>
      </c>
      <c r="D9" t="s">
        <v>254</v>
      </c>
      <c r="E9" t="str" cm="1">
        <f t="array" aca="1" ref="E9" ca="1">IF(K9=0,F9,TRIM(OFFSET(INDIRECT("'"&amp;B9&amp;"'!A1"),I9+L9,1)))</f>
        <v>Mascarenhas de Moraes</v>
      </c>
      <c r="F9" t="str" cm="1">
        <f t="array" aca="1" ref="F9" ca="1">TRIM(SUBSTITUTE(INDEX(INDIRECT("'"&amp;B9&amp;"'!A1:A1000"),H9),"Sub-bacia modelada:",""))</f>
        <v>Porto Colômbia</v>
      </c>
      <c r="G9" t="str">
        <f t="shared" ca="1" si="4"/>
        <v>NÃO BASE</v>
      </c>
      <c r="H9" cm="1">
        <f t="array" aca="1" ref="H9" ca="1">SMALL(ROW(INDIRECT("'"&amp;B9&amp;"'!A1:A1000"))*IF(ISNUMBER(FIND("Sub-bacia modelada:",INDIRECT("'"&amp;B9&amp;"'!A1:A1000"))),1,9999),RESUMO!A9)</f>
        <v>129</v>
      </c>
      <c r="I9">
        <f t="shared" ca="1" si="0"/>
        <v>132</v>
      </c>
      <c r="J9">
        <f t="shared" ca="1" si="1"/>
        <v>141</v>
      </c>
      <c r="K9">
        <f t="shared" ca="1" si="2"/>
        <v>6</v>
      </c>
      <c r="L9">
        <f ca="1">COUNTIF($F$1:F9,F9)</f>
        <v>1</v>
      </c>
      <c r="M9" cm="1">
        <f t="array" aca="1" ref="M9" ca="1">IF(Tabela2[[#This Row],[TIPO]]&lt;&gt;"BASE - POSTO FLU",_xlfn.XLOOKUP(Tabela2[[#This Row],[SUBBACIA]],INDIRECT("'"&amp;Tabela2[[#This Row],[MODELO]]&amp;"'!B1:B5000"),INDIRECT("'"&amp;Tabela2[[#This Row],[MODELO]]&amp;"'!A1:A5000")),"")</f>
        <v>7</v>
      </c>
      <c r="N9" t="str" cm="1">
        <f t="array" aca="1" ref="N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" t="str" cm="1">
        <f t="array" aca="1" ref="O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0" spans="1:15" x14ac:dyDescent="0.25">
      <c r="A10">
        <f t="shared" ca="1" si="3"/>
        <v>7</v>
      </c>
      <c r="B10" t="s">
        <v>252</v>
      </c>
      <c r="C10" t="s">
        <v>253</v>
      </c>
      <c r="D10" t="s">
        <v>254</v>
      </c>
      <c r="E10" t="str" cm="1">
        <f t="array" aca="1" ref="E10" ca="1">IF(K10=0,F10,TRIM(OFFSET(INDIRECT("'"&amp;B10&amp;"'!A1"),I10+L10,1)))</f>
        <v>L.C. Barreto</v>
      </c>
      <c r="F10" t="str" cm="1">
        <f t="array" aca="1" ref="F10" ca="1">TRIM(SUBSTITUTE(INDEX(INDIRECT("'"&amp;B10&amp;"'!A1:A1000"),H10),"Sub-bacia modelada:",""))</f>
        <v>Porto Colômbia</v>
      </c>
      <c r="G10" t="str">
        <f t="shared" ca="1" si="4"/>
        <v>NÃO BASE</v>
      </c>
      <c r="H10" cm="1">
        <f t="array" aca="1" ref="H10" ca="1">SMALL(ROW(INDIRECT("'"&amp;B10&amp;"'!A1:A1000"))*IF(ISNUMBER(FIND("Sub-bacia modelada:",INDIRECT("'"&amp;B10&amp;"'!A1:A1000"))),1,9999),RESUMO!A10)</f>
        <v>129</v>
      </c>
      <c r="I10">
        <f t="shared" ca="1" si="0"/>
        <v>132</v>
      </c>
      <c r="J10">
        <f t="shared" ca="1" si="1"/>
        <v>141</v>
      </c>
      <c r="K10">
        <f t="shared" ca="1" si="2"/>
        <v>6</v>
      </c>
      <c r="L10">
        <f ca="1">COUNTIF($F$1:F10,F10)</f>
        <v>2</v>
      </c>
      <c r="M10" cm="1">
        <f t="array" aca="1" ref="M10" ca="1">IF(Tabela2[[#This Row],[TIPO]]&lt;&gt;"BASE - POSTO FLU",_xlfn.XLOOKUP(Tabela2[[#This Row],[SUBBACIA]],INDIRECT("'"&amp;Tabela2[[#This Row],[MODELO]]&amp;"'!B1:B5000"),INDIRECT("'"&amp;Tabela2[[#This Row],[MODELO]]&amp;"'!A1:A5000")),"")</f>
        <v>8</v>
      </c>
      <c r="N10" t="str" cm="1">
        <f t="array" aca="1" ref="N1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" t="str" cm="1">
        <f t="array" aca="1" ref="O1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1" spans="1:15" x14ac:dyDescent="0.25">
      <c r="A11">
        <f t="shared" ca="1" si="3"/>
        <v>7</v>
      </c>
      <c r="B11" t="s">
        <v>252</v>
      </c>
      <c r="C11" t="s">
        <v>253</v>
      </c>
      <c r="D11" t="s">
        <v>254</v>
      </c>
      <c r="E11" t="str" cm="1">
        <f t="array" aca="1" ref="E11" ca="1">IF(K11=0,F11,TRIM(OFFSET(INDIRECT("'"&amp;B11&amp;"'!A1"),I11+L11,1)))</f>
        <v>Jaguara</v>
      </c>
      <c r="F11" t="str" cm="1">
        <f t="array" aca="1" ref="F11" ca="1">TRIM(SUBSTITUTE(INDEX(INDIRECT("'"&amp;B11&amp;"'!A1:A1000"),H11),"Sub-bacia modelada:",""))</f>
        <v>Porto Colômbia</v>
      </c>
      <c r="G11" t="str">
        <f t="shared" ca="1" si="4"/>
        <v>NÃO BASE</v>
      </c>
      <c r="H11" cm="1">
        <f t="array" aca="1" ref="H11" ca="1">SMALL(ROW(INDIRECT("'"&amp;B11&amp;"'!A1:A1000"))*IF(ISNUMBER(FIND("Sub-bacia modelada:",INDIRECT("'"&amp;B11&amp;"'!A1:A1000"))),1,9999),RESUMO!A11)</f>
        <v>129</v>
      </c>
      <c r="I11">
        <f t="shared" ca="1" si="0"/>
        <v>132</v>
      </c>
      <c r="J11">
        <f t="shared" ca="1" si="1"/>
        <v>141</v>
      </c>
      <c r="K11">
        <f t="shared" ca="1" si="2"/>
        <v>6</v>
      </c>
      <c r="L11">
        <f ca="1">COUNTIF($F$1:F11,F11)</f>
        <v>3</v>
      </c>
      <c r="M11" cm="1">
        <f t="array" aca="1" ref="M11" ca="1">IF(Tabela2[[#This Row],[TIPO]]&lt;&gt;"BASE - POSTO FLU",_xlfn.XLOOKUP(Tabela2[[#This Row],[SUBBACIA]],INDIRECT("'"&amp;Tabela2[[#This Row],[MODELO]]&amp;"'!B1:B5000"),INDIRECT("'"&amp;Tabela2[[#This Row],[MODELO]]&amp;"'!A1:A5000")),"")</f>
        <v>9</v>
      </c>
      <c r="N11" t="str" cm="1">
        <f t="array" aca="1" ref="N1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1" t="str" cm="1">
        <f t="array" aca="1" ref="O1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2" spans="1:15" x14ac:dyDescent="0.25">
      <c r="A12">
        <f t="shared" ca="1" si="3"/>
        <v>7</v>
      </c>
      <c r="B12" t="s">
        <v>252</v>
      </c>
      <c r="C12" t="s">
        <v>253</v>
      </c>
      <c r="D12" t="s">
        <v>254</v>
      </c>
      <c r="E12" t="str" cm="1">
        <f t="array" aca="1" ref="E12" ca="1">IF(K12=0,F12,TRIM(OFFSET(INDIRECT("'"&amp;B12&amp;"'!A1"),I12+L12,1)))</f>
        <v>Igarapava</v>
      </c>
      <c r="F12" t="str" cm="1">
        <f t="array" aca="1" ref="F12" ca="1">TRIM(SUBSTITUTE(INDEX(INDIRECT("'"&amp;B12&amp;"'!A1:A1000"),H12),"Sub-bacia modelada:",""))</f>
        <v>Porto Colômbia</v>
      </c>
      <c r="G12" t="str">
        <f t="shared" ca="1" si="4"/>
        <v>NÃO BASE</v>
      </c>
      <c r="H12" cm="1">
        <f t="array" aca="1" ref="H12" ca="1">SMALL(ROW(INDIRECT("'"&amp;B12&amp;"'!A1:A1000"))*IF(ISNUMBER(FIND("Sub-bacia modelada:",INDIRECT("'"&amp;B12&amp;"'!A1:A1000"))),1,9999),RESUMO!A12)</f>
        <v>129</v>
      </c>
      <c r="I12">
        <f t="shared" ca="1" si="0"/>
        <v>132</v>
      </c>
      <c r="J12">
        <f t="shared" ca="1" si="1"/>
        <v>141</v>
      </c>
      <c r="K12">
        <f t="shared" ca="1" si="2"/>
        <v>6</v>
      </c>
      <c r="L12">
        <f ca="1">COUNTIF($F$1:F12,F12)</f>
        <v>4</v>
      </c>
      <c r="M12" cm="1">
        <f t="array" aca="1" ref="M12" ca="1">IF(Tabela2[[#This Row],[TIPO]]&lt;&gt;"BASE - POSTO FLU",_xlfn.XLOOKUP(Tabela2[[#This Row],[SUBBACIA]],INDIRECT("'"&amp;Tabela2[[#This Row],[MODELO]]&amp;"'!B1:B5000"),INDIRECT("'"&amp;Tabela2[[#This Row],[MODELO]]&amp;"'!A1:A5000")),"")</f>
        <v>10</v>
      </c>
      <c r="N12" t="str" cm="1">
        <f t="array" aca="1" ref="N1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2" t="str" cm="1">
        <f t="array" aca="1" ref="O1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3" spans="1:15" x14ac:dyDescent="0.25">
      <c r="A13">
        <f t="shared" ca="1" si="3"/>
        <v>7</v>
      </c>
      <c r="B13" t="s">
        <v>252</v>
      </c>
      <c r="C13" t="s">
        <v>253</v>
      </c>
      <c r="D13" t="s">
        <v>254</v>
      </c>
      <c r="E13" t="str" cm="1">
        <f t="array" aca="1" ref="E13" ca="1">IF(K13=0,F13,TRIM(OFFSET(INDIRECT("'"&amp;B13&amp;"'!A1"),I13+L13,1)))</f>
        <v>Volta Grande</v>
      </c>
      <c r="F13" t="str" cm="1">
        <f t="array" aca="1" ref="F13" ca="1">TRIM(SUBSTITUTE(INDEX(INDIRECT("'"&amp;B13&amp;"'!A1:A1000"),H13),"Sub-bacia modelada:",""))</f>
        <v>Porto Colômbia</v>
      </c>
      <c r="G13" t="str">
        <f t="shared" ca="1" si="4"/>
        <v>NÃO BASE</v>
      </c>
      <c r="H13" cm="1">
        <f t="array" aca="1" ref="H13" ca="1">SMALL(ROW(INDIRECT("'"&amp;B13&amp;"'!A1:A1000"))*IF(ISNUMBER(FIND("Sub-bacia modelada:",INDIRECT("'"&amp;B13&amp;"'!A1:A1000"))),1,9999),RESUMO!A13)</f>
        <v>129</v>
      </c>
      <c r="I13">
        <f t="shared" ca="1" si="0"/>
        <v>132</v>
      </c>
      <c r="J13">
        <f t="shared" ca="1" si="1"/>
        <v>141</v>
      </c>
      <c r="K13">
        <f t="shared" ca="1" si="2"/>
        <v>6</v>
      </c>
      <c r="L13">
        <f ca="1">COUNTIF($F$1:F13,F13)</f>
        <v>5</v>
      </c>
      <c r="M13" cm="1">
        <f t="array" aca="1" ref="M13" ca="1">IF(Tabela2[[#This Row],[TIPO]]&lt;&gt;"BASE - POSTO FLU",_xlfn.XLOOKUP(Tabela2[[#This Row],[SUBBACIA]],INDIRECT("'"&amp;Tabela2[[#This Row],[MODELO]]&amp;"'!B1:B5000"),INDIRECT("'"&amp;Tabela2[[#This Row],[MODELO]]&amp;"'!A1:A5000")),"")</f>
        <v>11</v>
      </c>
      <c r="N13" t="str" cm="1">
        <f t="array" aca="1" ref="N1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" t="str" cm="1">
        <f t="array" aca="1" ref="O1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4" spans="1:15" x14ac:dyDescent="0.25">
      <c r="A14">
        <f t="shared" ca="1" si="3"/>
        <v>7</v>
      </c>
      <c r="B14" t="s">
        <v>252</v>
      </c>
      <c r="C14" t="s">
        <v>253</v>
      </c>
      <c r="D14" t="s">
        <v>254</v>
      </c>
      <c r="E14" t="str" cm="1">
        <f t="array" aca="1" ref="E14" ca="1">IF(K14=0,F14,TRIM(OFFSET(INDIRECT("'"&amp;B14&amp;"'!A1"),I14+L14,1)))</f>
        <v>Porto Colômbia</v>
      </c>
      <c r="F14" t="str" cm="1">
        <f t="array" aca="1" ref="F14" ca="1">TRIM(SUBSTITUTE(INDEX(INDIRECT("'"&amp;B14&amp;"'!A1:A1000"),H14),"Sub-bacia modelada:",""))</f>
        <v>Porto Colômbia</v>
      </c>
      <c r="G14" t="str">
        <f t="shared" ca="1" si="4"/>
        <v>BASE - RESERVATÓRIO</v>
      </c>
      <c r="H14" cm="1">
        <f t="array" aca="1" ref="H14" ca="1">SMALL(ROW(INDIRECT("'"&amp;B14&amp;"'!A1:A1000"))*IF(ISNUMBER(FIND("Sub-bacia modelada:",INDIRECT("'"&amp;B14&amp;"'!A1:A1000"))),1,9999),RESUMO!A14)</f>
        <v>129</v>
      </c>
      <c r="I14">
        <f t="shared" ca="1" si="0"/>
        <v>132</v>
      </c>
      <c r="J14">
        <f t="shared" ca="1" si="1"/>
        <v>141</v>
      </c>
      <c r="K14">
        <f t="shared" ca="1" si="2"/>
        <v>6</v>
      </c>
      <c r="L14">
        <f ca="1">COUNTIF($F$1:F14,F14)</f>
        <v>6</v>
      </c>
      <c r="M14" cm="1">
        <f t="array" aca="1" ref="M14" ca="1">IF(Tabela2[[#This Row],[TIPO]]&lt;&gt;"BASE - POSTO FLU",_xlfn.XLOOKUP(Tabela2[[#This Row],[SUBBACIA]],INDIRECT("'"&amp;Tabela2[[#This Row],[MODELO]]&amp;"'!B1:B5000"),INDIRECT("'"&amp;Tabela2[[#This Row],[MODELO]]&amp;"'!A1:A5000")),"")</f>
        <v>12</v>
      </c>
      <c r="N14" t="str" cm="1">
        <f t="array" aca="1" ref="N1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" t="str" cm="1">
        <f t="array" aca="1" ref="O1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PSATPTC</v>
      </c>
    </row>
    <row r="15" spans="1:15" x14ac:dyDescent="0.25">
      <c r="A15">
        <f t="shared" ca="1" si="3"/>
        <v>8</v>
      </c>
      <c r="B15" t="s">
        <v>252</v>
      </c>
      <c r="C15" t="s">
        <v>253</v>
      </c>
      <c r="D15" t="s">
        <v>254</v>
      </c>
      <c r="E15" t="str" cm="1">
        <f t="array" aca="1" ref="E15" ca="1">IF(K15=0,F15,TRIM(OFFSET(INDIRECT("'"&amp;B15&amp;"'!A1"),I15+L15,1)))</f>
        <v>Caconde</v>
      </c>
      <c r="F15" t="str" cm="1">
        <f t="array" aca="1" ref="F15" ca="1">TRIM(SUBSTITUTE(INDEX(INDIRECT("'"&amp;B15&amp;"'!A1:A1000"),H15),"Sub-bacia modelada:",""))</f>
        <v>Euclides da Cunha</v>
      </c>
      <c r="G15" t="str">
        <f t="shared" ca="1" si="4"/>
        <v>NÃO BASE</v>
      </c>
      <c r="H15" cm="1">
        <f t="array" aca="1" ref="H15" ca="1">SMALL(ROW(INDIRECT("'"&amp;B15&amp;"'!A1:A1000"))*IF(ISNUMBER(FIND("Sub-bacia modelada:",INDIRECT("'"&amp;B15&amp;"'!A1:A1000"))),1,9999),RESUMO!A15)</f>
        <v>155</v>
      </c>
      <c r="I15">
        <f t="shared" ca="1" si="0"/>
        <v>158</v>
      </c>
      <c r="J15">
        <f t="shared" ca="1" si="1"/>
        <v>163</v>
      </c>
      <c r="K15">
        <f t="shared" ca="1" si="2"/>
        <v>2</v>
      </c>
      <c r="L15">
        <f ca="1">COUNTIF($F$1:F15,F15)</f>
        <v>1</v>
      </c>
      <c r="M15" cm="1">
        <f t="array" aca="1" ref="M15" ca="1">IF(Tabela2[[#This Row],[TIPO]]&lt;&gt;"BASE - POSTO FLU",_xlfn.XLOOKUP(Tabela2[[#This Row],[SUBBACIA]],INDIRECT("'"&amp;Tabela2[[#This Row],[MODELO]]&amp;"'!B1:B5000"),INDIRECT("'"&amp;Tabela2[[#This Row],[MODELO]]&amp;"'!A1:A5000")),"")</f>
        <v>14</v>
      </c>
      <c r="N15" t="str" cm="1">
        <f t="array" aca="1" ref="N1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" t="str" cm="1">
        <f t="array" aca="1" ref="O1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6" spans="1:15" x14ac:dyDescent="0.25">
      <c r="A16">
        <f t="shared" ca="1" si="3"/>
        <v>8</v>
      </c>
      <c r="B16" t="s">
        <v>252</v>
      </c>
      <c r="C16" t="s">
        <v>253</v>
      </c>
      <c r="D16" t="s">
        <v>254</v>
      </c>
      <c r="E16" t="str" cm="1">
        <f t="array" aca="1" ref="E16" ca="1">IF(K16=0,F16,TRIM(OFFSET(INDIRECT("'"&amp;B16&amp;"'!A1"),I16+L16,1)))</f>
        <v>Euclides da Cunha</v>
      </c>
      <c r="F16" t="str" cm="1">
        <f t="array" aca="1" ref="F16" ca="1">TRIM(SUBSTITUTE(INDEX(INDIRECT("'"&amp;B16&amp;"'!A1:A1000"),H16),"Sub-bacia modelada:",""))</f>
        <v>Euclides da Cunha</v>
      </c>
      <c r="G16" t="str">
        <f t="shared" ca="1" si="4"/>
        <v>BASE - RESERVATÓRIO</v>
      </c>
      <c r="H16" cm="1">
        <f t="array" aca="1" ref="H16" ca="1">SMALL(ROW(INDIRECT("'"&amp;B16&amp;"'!A1:A1000"))*IF(ISNUMBER(FIND("Sub-bacia modelada:",INDIRECT("'"&amp;B16&amp;"'!A1:A1000"))),1,9999),RESUMO!A16)</f>
        <v>155</v>
      </c>
      <c r="I16">
        <f t="shared" ca="1" si="0"/>
        <v>158</v>
      </c>
      <c r="J16">
        <f t="shared" ca="1" si="1"/>
        <v>163</v>
      </c>
      <c r="K16">
        <f t="shared" ca="1" si="2"/>
        <v>2</v>
      </c>
      <c r="L16">
        <f ca="1">COUNTIF($F$1:F16,F16)</f>
        <v>2</v>
      </c>
      <c r="M16" cm="1">
        <f t="array" aca="1" ref="M16" ca="1">IF(Tabela2[[#This Row],[TIPO]]&lt;&gt;"BASE - POSTO FLU",_xlfn.XLOOKUP(Tabela2[[#This Row],[SUBBACIA]],INDIRECT("'"&amp;Tabela2[[#This Row],[MODELO]]&amp;"'!B1:B5000"),INDIRECT("'"&amp;Tabela2[[#This Row],[MODELO]]&amp;"'!A1:A5000")),"")</f>
        <v>15</v>
      </c>
      <c r="N16" t="str" cm="1">
        <f t="array" aca="1" ref="N1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" t="str" cm="1">
        <f t="array" aca="1" ref="O1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PSATELC</v>
      </c>
    </row>
    <row r="17" spans="1:15" x14ac:dyDescent="0.25">
      <c r="A17">
        <f t="shared" ca="1" si="3"/>
        <v>9</v>
      </c>
      <c r="B17" t="s">
        <v>252</v>
      </c>
      <c r="C17" t="s">
        <v>253</v>
      </c>
      <c r="D17" t="s">
        <v>254</v>
      </c>
      <c r="E17" t="str" cm="1">
        <f t="array" aca="1" ref="E17" ca="1">IF(K17=0,F17,TRIM(OFFSET(INDIRECT("'"&amp;B17&amp;"'!A1"),I17+L17,1)))</f>
        <v>Limoeiro</v>
      </c>
      <c r="F17" t="str" cm="1">
        <f t="array" aca="1" ref="F17" ca="1">TRIM(SUBSTITUTE(INDEX(INDIRECT("'"&amp;B17&amp;"'!A1:A1000"),H17),"Sub-bacia modelada:",""))</f>
        <v>Marimbondo</v>
      </c>
      <c r="G17" t="str">
        <f t="shared" ca="1" si="4"/>
        <v>NÃO BASE</v>
      </c>
      <c r="H17" cm="1">
        <f t="array" aca="1" ref="H17" ca="1">SMALL(ROW(INDIRECT("'"&amp;B17&amp;"'!A1:A1000"))*IF(ISNUMBER(FIND("Sub-bacia modelada:",INDIRECT("'"&amp;B17&amp;"'!A1:A1000"))),1,9999),RESUMO!A17)</f>
        <v>177</v>
      </c>
      <c r="I17">
        <f t="shared" ca="1" si="0"/>
        <v>180</v>
      </c>
      <c r="J17">
        <f t="shared" ca="1" si="1"/>
        <v>185</v>
      </c>
      <c r="K17">
        <f t="shared" ca="1" si="2"/>
        <v>2</v>
      </c>
      <c r="L17">
        <f ca="1">COUNTIF($F$1:F17,F17)</f>
        <v>1</v>
      </c>
      <c r="M17" cm="1">
        <f t="array" aca="1" ref="M17" ca="1">IF(Tabela2[[#This Row],[TIPO]]&lt;&gt;"BASE - POSTO FLU",_xlfn.XLOOKUP(Tabela2[[#This Row],[SUBBACIA]],INDIRECT("'"&amp;Tabela2[[#This Row],[MODELO]]&amp;"'!B1:B5000"),INDIRECT("'"&amp;Tabela2[[#This Row],[MODELO]]&amp;"'!A1:A5000")),"")</f>
        <v>16</v>
      </c>
      <c r="N17" t="str" cm="1">
        <f t="array" aca="1" ref="N1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7" t="str" cm="1">
        <f t="array" aca="1" ref="O1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8" spans="1:15" x14ac:dyDescent="0.25">
      <c r="A18">
        <f t="shared" ca="1" si="3"/>
        <v>9</v>
      </c>
      <c r="B18" t="s">
        <v>252</v>
      </c>
      <c r="C18" t="s">
        <v>253</v>
      </c>
      <c r="D18" t="s">
        <v>254</v>
      </c>
      <c r="E18" t="str" cm="1">
        <f t="array" aca="1" ref="E18" ca="1">IF(K18=0,F18,TRIM(OFFSET(INDIRECT("'"&amp;B18&amp;"'!A1"),I18+L18,1)))</f>
        <v>Marimbondo</v>
      </c>
      <c r="F18" t="str" cm="1">
        <f t="array" aca="1" ref="F18" ca="1">TRIM(SUBSTITUTE(INDEX(INDIRECT("'"&amp;B18&amp;"'!A1:A1000"),H18),"Sub-bacia modelada:",""))</f>
        <v>Marimbondo</v>
      </c>
      <c r="G18" t="str">
        <f t="shared" ca="1" si="4"/>
        <v>BASE - RESERVATÓRIO</v>
      </c>
      <c r="H18" cm="1">
        <f t="array" aca="1" ref="H18" ca="1">SMALL(ROW(INDIRECT("'"&amp;B18&amp;"'!A1:A1000"))*IF(ISNUMBER(FIND("Sub-bacia modelada:",INDIRECT("'"&amp;B18&amp;"'!A1:A1000"))),1,9999),RESUMO!A18)</f>
        <v>177</v>
      </c>
      <c r="I18">
        <f t="shared" ca="1" si="0"/>
        <v>180</v>
      </c>
      <c r="J18">
        <f t="shared" ca="1" si="1"/>
        <v>185</v>
      </c>
      <c r="K18">
        <f t="shared" ca="1" si="2"/>
        <v>2</v>
      </c>
      <c r="L18">
        <f ca="1">COUNTIF($F$1:F18,F18)</f>
        <v>2</v>
      </c>
      <c r="M18" cm="1">
        <f t="array" aca="1" ref="M18" ca="1">IF(Tabela2[[#This Row],[TIPO]]&lt;&gt;"BASE - POSTO FLU",_xlfn.XLOOKUP(Tabela2[[#This Row],[SUBBACIA]],INDIRECT("'"&amp;Tabela2[[#This Row],[MODELO]]&amp;"'!B1:B5000"),INDIRECT("'"&amp;Tabela2[[#This Row],[MODELO]]&amp;"'!A1:A5000")),"")</f>
        <v>17</v>
      </c>
      <c r="N18" t="str" cm="1">
        <f t="array" aca="1" ref="N1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8" t="str" cm="1">
        <f t="array" aca="1" ref="O1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PSATMRB</v>
      </c>
    </row>
    <row r="19" spans="1:15" x14ac:dyDescent="0.25">
      <c r="A19">
        <f t="shared" ca="1" si="3"/>
        <v>10</v>
      </c>
      <c r="B19" t="s">
        <v>252</v>
      </c>
      <c r="C19" t="s">
        <v>253</v>
      </c>
      <c r="D19" t="s">
        <v>254</v>
      </c>
      <c r="E19" t="str" cm="1">
        <f t="array" aca="1" ref="E19" ca="1">IF(K19=0,F19,TRIM(OFFSET(INDIRECT("'"&amp;B19&amp;"'!A1"),I19+L19,1)))</f>
        <v>Passagem</v>
      </c>
      <c r="F19" t="str" cm="1">
        <f t="array" aca="1" ref="F19" ca="1">TRIM(SUBSTITUTE(INDEX(INDIRECT("'"&amp;B19&amp;"'!A1:A1000"),H19),"Sub-bacia modelada:",""))</f>
        <v>Passagem</v>
      </c>
      <c r="G19" t="str">
        <f t="shared" ca="1" si="4"/>
        <v>BASE - POSTO FLU</v>
      </c>
      <c r="H19" cm="1">
        <f t="array" aca="1" ref="H19" ca="1">SMALL(ROW(INDIRECT("'"&amp;B19&amp;"'!A1:A1000"))*IF(ISNUMBER(FIND("Sub-bacia modelada:",INDIRECT("'"&amp;B19&amp;"'!A1:A1000"))),1,9999),RESUMO!A19)</f>
        <v>199</v>
      </c>
      <c r="I19">
        <f t="shared" ca="1" si="0"/>
        <v>202</v>
      </c>
      <c r="J19">
        <f t="shared" ca="1" si="1"/>
        <v>206</v>
      </c>
      <c r="K19">
        <f t="shared" ca="1" si="2"/>
        <v>0</v>
      </c>
      <c r="L19">
        <f ca="1">COUNTIF($F$1:F19,F19)</f>
        <v>1</v>
      </c>
      <c r="M19" t="str" cm="1">
        <f t="array" aca="1" ref="M19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19" cm="1">
        <f t="array" aca="1" ref="N1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61915000</v>
      </c>
      <c r="O19" t="str" cm="1">
        <f t="array" aca="1" ref="O1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PSATPAS</v>
      </c>
    </row>
    <row r="20" spans="1:15" x14ac:dyDescent="0.25">
      <c r="A20">
        <f t="shared" ca="1" si="3"/>
        <v>11</v>
      </c>
      <c r="B20" t="s">
        <v>252</v>
      </c>
      <c r="C20" t="s">
        <v>253</v>
      </c>
      <c r="D20" t="s">
        <v>254</v>
      </c>
      <c r="E20" t="str" cm="1">
        <f t="array" aca="1" ref="E20" ca="1">IF(K20=0,F20,TRIM(OFFSET(INDIRECT("'"&amp;B20&amp;"'!A1"),I20+L20,1)))</f>
        <v>Água Vermelha</v>
      </c>
      <c r="F20" t="str" cm="1">
        <f t="array" aca="1" ref="F20" ca="1">TRIM(SUBSTITUTE(INDEX(INDIRECT("'"&amp;B20&amp;"'!A1:A1000"),H20),"Sub-bacia modelada:",""))</f>
        <v>Água Vermelha</v>
      </c>
      <c r="G20" t="str">
        <f t="shared" ca="1" si="4"/>
        <v>BASE - RESERVATÓRIO</v>
      </c>
      <c r="H20" cm="1">
        <f t="array" aca="1" ref="H20" ca="1">SMALL(ROW(INDIRECT("'"&amp;B20&amp;"'!A1:A1000"))*IF(ISNUMBER(FIND("Sub-bacia modelada:",INDIRECT("'"&amp;B20&amp;"'!A1:A1000"))),1,9999),RESUMO!A20)</f>
        <v>220</v>
      </c>
      <c r="I20">
        <f t="shared" ca="1" si="0"/>
        <v>223</v>
      </c>
      <c r="J20">
        <f t="shared" ca="1" si="1"/>
        <v>227</v>
      </c>
      <c r="K20">
        <f t="shared" ca="1" si="2"/>
        <v>1</v>
      </c>
      <c r="L20">
        <f ca="1">COUNTIF($F$1:F20,F20)</f>
        <v>1</v>
      </c>
      <c r="M20" cm="1">
        <f t="array" aca="1" ref="M20" ca="1">IF(Tabela2[[#This Row],[TIPO]]&lt;&gt;"BASE - POSTO FLU",_xlfn.XLOOKUP(Tabela2[[#This Row],[SUBBACIA]],INDIRECT("'"&amp;Tabela2[[#This Row],[MODELO]]&amp;"'!B1:B5000"),INDIRECT("'"&amp;Tabela2[[#This Row],[MODELO]]&amp;"'!A1:A5000")),"")</f>
        <v>18</v>
      </c>
      <c r="N20" t="str" cm="1">
        <f t="array" aca="1" ref="N2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0" t="str" cm="1">
        <f t="array" aca="1" ref="O2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PSATAGV</v>
      </c>
    </row>
    <row r="21" spans="1:15" x14ac:dyDescent="0.25">
      <c r="A21">
        <f t="shared" ca="1" si="3"/>
        <v>12</v>
      </c>
      <c r="B21" t="s">
        <v>252</v>
      </c>
      <c r="C21" t="s">
        <v>253</v>
      </c>
      <c r="D21" t="s">
        <v>255</v>
      </c>
      <c r="E21" t="str" cm="1">
        <f t="array" aca="1" ref="E21" ca="1">IF(K21=0,F21,TRIM(OFFSET(INDIRECT("'"&amp;B21&amp;"'!A1"),I21+L21,1)))</f>
        <v>Corumbá 4</v>
      </c>
      <c r="F21" t="str" cm="1">
        <f t="array" aca="1" ref="F21" ca="1">TRIM(SUBSTITUTE(INDEX(INDIRECT("'"&amp;B21&amp;"'!A1:A1000"),H21),"Sub-bacia modelada:",""))</f>
        <v>Corumbá IV</v>
      </c>
      <c r="G21" t="str">
        <f t="shared" ca="1" si="4"/>
        <v>BASE - RESERVATÓRIO</v>
      </c>
      <c r="H21" cm="1">
        <f t="array" aca="1" ref="H21" ca="1">SMALL(ROW(INDIRECT("'"&amp;B21&amp;"'!A1:A1000"))*IF(ISNUMBER(FIND("Sub-bacia modelada:",INDIRECT("'"&amp;B21&amp;"'!A1:A1000"))),1,9999),RESUMO!A21)</f>
        <v>241</v>
      </c>
      <c r="I21">
        <f t="shared" ca="1" si="0"/>
        <v>244</v>
      </c>
      <c r="J21">
        <f t="shared" ca="1" si="1"/>
        <v>248</v>
      </c>
      <c r="K21">
        <f t="shared" ca="1" si="2"/>
        <v>1</v>
      </c>
      <c r="L21">
        <f ca="1">COUNTIF($F$1:F21,F21)</f>
        <v>1</v>
      </c>
      <c r="M21" cm="1">
        <f t="array" aca="1" ref="M21" ca="1">IF(Tabela2[[#This Row],[TIPO]]&lt;&gt;"BASE - POSTO FLU",_xlfn.XLOOKUP(Tabela2[[#This Row],[SUBBACIA]],INDIRECT("'"&amp;Tabela2[[#This Row],[MODELO]]&amp;"'!B1:B5000"),INDIRECT("'"&amp;Tabela2[[#This Row],[MODELO]]&amp;"'!A1:A5000")),"")</f>
        <v>205</v>
      </c>
      <c r="N21" t="str" cm="1">
        <f t="array" aca="1" ref="N2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1" t="str" cm="1">
        <f t="array" aca="1" ref="O2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PSATCBIV</v>
      </c>
    </row>
    <row r="22" spans="1:15" x14ac:dyDescent="0.25">
      <c r="A22">
        <f t="shared" ca="1" si="3"/>
        <v>13</v>
      </c>
      <c r="B22" t="s">
        <v>252</v>
      </c>
      <c r="C22" t="s">
        <v>253</v>
      </c>
      <c r="D22" t="s">
        <v>255</v>
      </c>
      <c r="E22" t="str" cm="1">
        <f t="array" aca="1" ref="E22" ca="1">IF(K22=0,F22,TRIM(OFFSET(INDIRECT("'"&amp;B22&amp;"'!A1"),I22+L22,1)))</f>
        <v>Corumbá 3</v>
      </c>
      <c r="F22" t="str" cm="1">
        <f t="array" aca="1" ref="F22" ca="1">TRIM(SUBSTITUTE(INDEX(INDIRECT("'"&amp;B22&amp;"'!A1:A1000"),H22),"Sub-bacia modelada:",""))</f>
        <v>Corumbá I</v>
      </c>
      <c r="G22" t="str">
        <f t="shared" ca="1" si="4"/>
        <v>NÃO BASE</v>
      </c>
      <c r="H22" cm="1">
        <f t="array" aca="1" ref="H22" ca="1">SMALL(ROW(INDIRECT("'"&amp;B22&amp;"'!A1:A1000"))*IF(ISNUMBER(FIND("Sub-bacia modelada:",INDIRECT("'"&amp;B22&amp;"'!A1:A1000"))),1,9999),RESUMO!A22)</f>
        <v>262</v>
      </c>
      <c r="I22">
        <f t="shared" ca="1" si="0"/>
        <v>265</v>
      </c>
      <c r="J22">
        <f t="shared" ca="1" si="1"/>
        <v>270</v>
      </c>
      <c r="K22">
        <f t="shared" ca="1" si="2"/>
        <v>2</v>
      </c>
      <c r="L22">
        <f ca="1">COUNTIF($F$1:F22,F22)</f>
        <v>1</v>
      </c>
      <c r="M22" cm="1">
        <f t="array" aca="1" ref="M22" ca="1">IF(Tabela2[[#This Row],[TIPO]]&lt;&gt;"BASE - POSTO FLU",_xlfn.XLOOKUP(Tabela2[[#This Row],[SUBBACIA]],INDIRECT("'"&amp;Tabela2[[#This Row],[MODELO]]&amp;"'!B1:B5000"),INDIRECT("'"&amp;Tabela2[[#This Row],[MODELO]]&amp;"'!A1:A5000")),"")</f>
        <v>23</v>
      </c>
      <c r="N22" t="str" cm="1">
        <f t="array" aca="1" ref="N2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2" t="str" cm="1">
        <f t="array" aca="1" ref="O2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23" spans="1:15" x14ac:dyDescent="0.25">
      <c r="A23">
        <f t="shared" ca="1" si="3"/>
        <v>13</v>
      </c>
      <c r="B23" t="s">
        <v>252</v>
      </c>
      <c r="C23" t="s">
        <v>253</v>
      </c>
      <c r="D23" t="s">
        <v>255</v>
      </c>
      <c r="E23" t="str" cm="1">
        <f t="array" aca="1" ref="E23" ca="1">IF(K23=0,F23,TRIM(OFFSET(INDIRECT("'"&amp;B23&amp;"'!A1"),I23+L23,1)))</f>
        <v>Corumbá</v>
      </c>
      <c r="F23" t="str" cm="1">
        <f t="array" aca="1" ref="F23" ca="1">TRIM(SUBSTITUTE(INDEX(INDIRECT("'"&amp;B23&amp;"'!A1:A1000"),H23),"Sub-bacia modelada:",""))</f>
        <v>Corumbá I</v>
      </c>
      <c r="G23" t="s">
        <v>256</v>
      </c>
      <c r="H23" cm="1">
        <f t="array" aca="1" ref="H23" ca="1">SMALL(ROW(INDIRECT("'"&amp;B23&amp;"'!A1:A1000"))*IF(ISNUMBER(FIND("Sub-bacia modelada:",INDIRECT("'"&amp;B23&amp;"'!A1:A1000"))),1,9999),RESUMO!A23)</f>
        <v>262</v>
      </c>
      <c r="I23">
        <f t="shared" ca="1" si="0"/>
        <v>265</v>
      </c>
      <c r="J23">
        <f t="shared" ca="1" si="1"/>
        <v>270</v>
      </c>
      <c r="K23">
        <f t="shared" ca="1" si="2"/>
        <v>2</v>
      </c>
      <c r="L23">
        <f ca="1">COUNTIF($F$1:F23,F23)</f>
        <v>2</v>
      </c>
      <c r="M23" cm="1">
        <f t="array" aca="1" ref="M23" ca="1">IF(Tabela2[[#This Row],[TIPO]]&lt;&gt;"BASE - POSTO FLU",_xlfn.XLOOKUP(Tabela2[[#This Row],[SUBBACIA]],INDIRECT("'"&amp;Tabela2[[#This Row],[MODELO]]&amp;"'!B1:B5000"),INDIRECT("'"&amp;Tabela2[[#This Row],[MODELO]]&amp;"'!A1:A5000")),"")</f>
        <v>209</v>
      </c>
      <c r="N23" t="str" cm="1">
        <f t="array" aca="1" ref="N2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3" t="str" cm="1">
        <f t="array" aca="1" ref="O2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PSATCBI</v>
      </c>
    </row>
    <row r="24" spans="1:15" x14ac:dyDescent="0.25">
      <c r="A24">
        <f t="shared" ca="1" si="3"/>
        <v>14</v>
      </c>
      <c r="B24" t="s">
        <v>252</v>
      </c>
      <c r="C24" t="s">
        <v>253</v>
      </c>
      <c r="D24" t="s">
        <v>255</v>
      </c>
      <c r="E24" t="str" cm="1">
        <f t="array" aca="1" ref="E24" ca="1">IF(K24=0,F24,TRIM(OFFSET(INDIRECT("'"&amp;B24&amp;"'!A1"),I24+L24,1)))</f>
        <v>Batalha</v>
      </c>
      <c r="F24" t="str" cm="1">
        <f t="array" aca="1" ref="F24" ca="1">TRIM(SUBSTITUTE(INDEX(INDIRECT("'"&amp;B24&amp;"'!A1:A1000"),H24),"Sub-bacia modelada:",""))</f>
        <v>Serra do Facão</v>
      </c>
      <c r="G24" t="str">
        <f t="shared" ca="1" si="4"/>
        <v>NÃO BASE</v>
      </c>
      <c r="H24" cm="1">
        <f t="array" aca="1" ref="H24" ca="1">SMALL(ROW(INDIRECT("'"&amp;B24&amp;"'!A1:A1000"))*IF(ISNUMBER(FIND("Sub-bacia modelada:",INDIRECT("'"&amp;B24&amp;"'!A1:A1000"))),1,9999),RESUMO!A24)</f>
        <v>284</v>
      </c>
      <c r="I24">
        <f t="shared" ca="1" si="0"/>
        <v>287</v>
      </c>
      <c r="J24">
        <f t="shared" ca="1" si="1"/>
        <v>292</v>
      </c>
      <c r="K24">
        <f t="shared" ca="1" si="2"/>
        <v>2</v>
      </c>
      <c r="L24">
        <f ca="1">COUNTIF($F$1:F24,F24)</f>
        <v>1</v>
      </c>
      <c r="M24" cm="1">
        <f t="array" aca="1" ref="M24" ca="1">IF(Tabela2[[#This Row],[TIPO]]&lt;&gt;"BASE - POSTO FLU",_xlfn.XLOOKUP(Tabela2[[#This Row],[SUBBACIA]],INDIRECT("'"&amp;Tabela2[[#This Row],[MODELO]]&amp;"'!B1:B5000"),INDIRECT("'"&amp;Tabela2[[#This Row],[MODELO]]&amp;"'!A1:A5000")),"")</f>
        <v>22</v>
      </c>
      <c r="N24" t="str" cm="1">
        <f t="array" aca="1" ref="N2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4" t="str" cm="1">
        <f t="array" aca="1" ref="O2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25" spans="1:15" x14ac:dyDescent="0.25">
      <c r="A25">
        <f t="shared" ca="1" si="3"/>
        <v>14</v>
      </c>
      <c r="B25" t="s">
        <v>252</v>
      </c>
      <c r="C25" t="s">
        <v>253</v>
      </c>
      <c r="D25" t="s">
        <v>255</v>
      </c>
      <c r="E25" t="str" cm="1">
        <f t="array" aca="1" ref="E25" ca="1">IF(K25=0,F25,TRIM(OFFSET(INDIRECT("'"&amp;B25&amp;"'!A1"),I25+L25,1)))</f>
        <v>Serra do Facão</v>
      </c>
      <c r="F25" t="str" cm="1">
        <f t="array" aca="1" ref="F25" ca="1">TRIM(SUBSTITUTE(INDEX(INDIRECT("'"&amp;B25&amp;"'!A1:A1000"),H25),"Sub-bacia modelada:",""))</f>
        <v>Serra do Facão</v>
      </c>
      <c r="G25" t="str">
        <f t="shared" ca="1" si="4"/>
        <v>BASE - RESERVATÓRIO</v>
      </c>
      <c r="H25" cm="1">
        <f t="array" aca="1" ref="H25" ca="1">SMALL(ROW(INDIRECT("'"&amp;B25&amp;"'!A1:A1000"))*IF(ISNUMBER(FIND("Sub-bacia modelada:",INDIRECT("'"&amp;B25&amp;"'!A1:A1000"))),1,9999),RESUMO!A25)</f>
        <v>284</v>
      </c>
      <c r="I25">
        <f t="shared" ca="1" si="0"/>
        <v>287</v>
      </c>
      <c r="J25">
        <f t="shared" ca="1" si="1"/>
        <v>292</v>
      </c>
      <c r="K25">
        <f t="shared" ca="1" si="2"/>
        <v>2</v>
      </c>
      <c r="L25">
        <f ca="1">COUNTIF($F$1:F25,F25)</f>
        <v>2</v>
      </c>
      <c r="M25" cm="1">
        <f t="array" aca="1" ref="M25" ca="1">IF(Tabela2[[#This Row],[TIPO]]&lt;&gt;"BASE - POSTO FLU",_xlfn.XLOOKUP(Tabela2[[#This Row],[SUBBACIA]],INDIRECT("'"&amp;Tabela2[[#This Row],[MODELO]]&amp;"'!B1:B5000"),INDIRECT("'"&amp;Tabela2[[#This Row],[MODELO]]&amp;"'!A1:A5000")),"")</f>
        <v>251</v>
      </c>
      <c r="N25" t="str" cm="1">
        <f t="array" aca="1" ref="N2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5" t="str" cm="1">
        <f t="array" aca="1" ref="O2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PSATSFC</v>
      </c>
    </row>
    <row r="26" spans="1:15" x14ac:dyDescent="0.25">
      <c r="A26">
        <f t="shared" ca="1" si="3"/>
        <v>15</v>
      </c>
      <c r="B26" t="s">
        <v>252</v>
      </c>
      <c r="C26" t="s">
        <v>253</v>
      </c>
      <c r="D26" t="s">
        <v>255</v>
      </c>
      <c r="E26" t="str" cm="1">
        <f t="array" aca="1" ref="E26" ca="1">IF(K26=0,F26,TRIM(OFFSET(INDIRECT("'"&amp;B26&amp;"'!A1"),I26+L26,1)))</f>
        <v>Emborcação</v>
      </c>
      <c r="F26" t="str" cm="1">
        <f t="array" aca="1" ref="F26" ca="1">TRIM(SUBSTITUTE(INDEX(INDIRECT("'"&amp;B26&amp;"'!A1:A1000"),H26),"Sub-bacia modelada:",""))</f>
        <v>Emborcação</v>
      </c>
      <c r="G26" t="str">
        <f t="shared" ca="1" si="4"/>
        <v>BASE - RESERVATÓRIO</v>
      </c>
      <c r="H26" cm="1">
        <f t="array" aca="1" ref="H26" ca="1">SMALL(ROW(INDIRECT("'"&amp;B26&amp;"'!A1:A1000"))*IF(ISNUMBER(FIND("Sub-bacia modelada:",INDIRECT("'"&amp;B26&amp;"'!A1:A1000"))),1,9999),RESUMO!A26)</f>
        <v>306</v>
      </c>
      <c r="I26">
        <f t="shared" ca="1" si="0"/>
        <v>309</v>
      </c>
      <c r="J26">
        <f t="shared" ca="1" si="1"/>
        <v>313</v>
      </c>
      <c r="K26">
        <f t="shared" ca="1" si="2"/>
        <v>1</v>
      </c>
      <c r="L26">
        <f ca="1">COUNTIF($F$1:F26,F26)</f>
        <v>1</v>
      </c>
      <c r="M26" cm="1">
        <f t="array" aca="1" ref="M26" ca="1">IF(Tabela2[[#This Row],[TIPO]]&lt;&gt;"BASE - POSTO FLU",_xlfn.XLOOKUP(Tabela2[[#This Row],[SUBBACIA]],INDIRECT("'"&amp;Tabela2[[#This Row],[MODELO]]&amp;"'!B1:B5000"),INDIRECT("'"&amp;Tabela2[[#This Row],[MODELO]]&amp;"'!A1:A5000")),"")</f>
        <v>24</v>
      </c>
      <c r="N26" t="str" cm="1">
        <f t="array" aca="1" ref="N2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6" t="str" cm="1">
        <f t="array" aca="1" ref="O2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PSATEMB</v>
      </c>
    </row>
    <row r="27" spans="1:15" x14ac:dyDescent="0.25">
      <c r="A27">
        <f t="shared" ca="1" si="3"/>
        <v>16</v>
      </c>
      <c r="B27" t="s">
        <v>252</v>
      </c>
      <c r="C27" t="s">
        <v>253</v>
      </c>
      <c r="D27" t="s">
        <v>255</v>
      </c>
      <c r="E27" t="str" cm="1">
        <f t="array" aca="1" ref="E27" ca="1">IF(K27=0,F27,TRIM(OFFSET(INDIRECT("'"&amp;B27&amp;"'!A1"),I27+L27,1)))</f>
        <v>Nova Ponte</v>
      </c>
      <c r="F27" t="str" cm="1">
        <f t="array" aca="1" ref="F27" ca="1">TRIM(SUBSTITUTE(INDEX(INDIRECT("'"&amp;B27&amp;"'!A1:A1000"),H27),"Sub-bacia modelada:",""))</f>
        <v>Nova Ponte</v>
      </c>
      <c r="G27" t="str">
        <f t="shared" ca="1" si="4"/>
        <v>BASE - RESERVATÓRIO</v>
      </c>
      <c r="H27" cm="1">
        <f t="array" aca="1" ref="H27" ca="1">SMALL(ROW(INDIRECT("'"&amp;B27&amp;"'!A1:A1000"))*IF(ISNUMBER(FIND("Sub-bacia modelada:",INDIRECT("'"&amp;B27&amp;"'!A1:A1000"))),1,9999),RESUMO!A27)</f>
        <v>327</v>
      </c>
      <c r="I27">
        <f t="shared" ca="1" si="0"/>
        <v>330</v>
      </c>
      <c r="J27">
        <f t="shared" ca="1" si="1"/>
        <v>334</v>
      </c>
      <c r="K27">
        <f t="shared" ca="1" si="2"/>
        <v>1</v>
      </c>
      <c r="L27">
        <f ca="1">COUNTIF($F$1:F27,F27)</f>
        <v>1</v>
      </c>
      <c r="M27" cm="1">
        <f t="array" aca="1" ref="M27" ca="1">IF(Tabela2[[#This Row],[TIPO]]&lt;&gt;"BASE - POSTO FLU",_xlfn.XLOOKUP(Tabela2[[#This Row],[SUBBACIA]],INDIRECT("'"&amp;Tabela2[[#This Row],[MODELO]]&amp;"'!B1:B5000"),INDIRECT("'"&amp;Tabela2[[#This Row],[MODELO]]&amp;"'!A1:A5000")),"")</f>
        <v>25</v>
      </c>
      <c r="N27" t="str" cm="1">
        <f t="array" aca="1" ref="N2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7" t="str" cm="1">
        <f t="array" aca="1" ref="O2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PSATNPTE</v>
      </c>
    </row>
    <row r="28" spans="1:15" x14ac:dyDescent="0.25">
      <c r="A28">
        <f t="shared" ca="1" si="3"/>
        <v>17</v>
      </c>
      <c r="B28" t="s">
        <v>252</v>
      </c>
      <c r="C28" t="s">
        <v>253</v>
      </c>
      <c r="D28" t="s">
        <v>255</v>
      </c>
      <c r="E28" t="str" cm="1">
        <f t="array" aca="1" ref="E28" ca="1">IF(K28=0,F28,TRIM(OFFSET(INDIRECT("'"&amp;B28&amp;"'!A1"),I28+L28,1)))</f>
        <v>Capim Branco 2</v>
      </c>
      <c r="F28" t="str" cm="1">
        <f t="array" aca="1" ref="F28" ca="1">TRIM(SUBSTITUTE(INDEX(INDIRECT("'"&amp;B28&amp;"'!A1:A1000"),H28),"Sub-bacia modelada:",""))</f>
        <v>Itumbiara</v>
      </c>
      <c r="G28" t="str">
        <f t="shared" ca="1" si="4"/>
        <v>NÃO BASE</v>
      </c>
      <c r="H28" cm="1">
        <f t="array" aca="1" ref="H28" ca="1">SMALL(ROW(INDIRECT("'"&amp;B28&amp;"'!A1:A1000"))*IF(ISNUMBER(FIND("Sub-bacia modelada:",INDIRECT("'"&amp;B28&amp;"'!A1:A1000"))),1,9999),RESUMO!A28)</f>
        <v>348</v>
      </c>
      <c r="I28">
        <f t="shared" ca="1" si="0"/>
        <v>351</v>
      </c>
      <c r="J28">
        <f t="shared" ca="1" si="1"/>
        <v>358</v>
      </c>
      <c r="K28">
        <f t="shared" ca="1" si="2"/>
        <v>4</v>
      </c>
      <c r="L28">
        <f ca="1">COUNTIF($F$1:F28,F28)</f>
        <v>1</v>
      </c>
      <c r="M28" cm="1">
        <f t="array" aca="1" ref="M28" ca="1">IF(Tabela2[[#This Row],[TIPO]]&lt;&gt;"BASE - POSTO FLU",_xlfn.XLOOKUP(Tabela2[[#This Row],[SUBBACIA]],INDIRECT("'"&amp;Tabela2[[#This Row],[MODELO]]&amp;"'!B1:B5000"),INDIRECT("'"&amp;Tabela2[[#This Row],[MODELO]]&amp;"'!A1:A5000")),"")</f>
        <v>28</v>
      </c>
      <c r="N28" t="str" cm="1">
        <f t="array" aca="1" ref="N2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8" t="str" cm="1">
        <f t="array" aca="1" ref="O2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29" spans="1:15" x14ac:dyDescent="0.25">
      <c r="A29">
        <f t="shared" ca="1" si="3"/>
        <v>17</v>
      </c>
      <c r="B29" t="s">
        <v>252</v>
      </c>
      <c r="C29" t="s">
        <v>253</v>
      </c>
      <c r="D29" t="s">
        <v>255</v>
      </c>
      <c r="E29" t="str" cm="1">
        <f t="array" aca="1" ref="E29" ca="1">IF(K29=0,F29,TRIM(OFFSET(INDIRECT("'"&amp;B29&amp;"'!A1"),I29+L29,1)))</f>
        <v>Itumbiara</v>
      </c>
      <c r="F29" t="str" cm="1">
        <f t="array" aca="1" ref="F29" ca="1">TRIM(SUBSTITUTE(INDEX(INDIRECT("'"&amp;B29&amp;"'!A1:A1000"),H29),"Sub-bacia modelada:",""))</f>
        <v>Itumbiara</v>
      </c>
      <c r="G29" t="str">
        <f t="shared" ca="1" si="4"/>
        <v>BASE - RESERVATÓRIO</v>
      </c>
      <c r="H29" cm="1">
        <f t="array" aca="1" ref="H29" ca="1">SMALL(ROW(INDIRECT("'"&amp;B29&amp;"'!A1:A1000"))*IF(ISNUMBER(FIND("Sub-bacia modelada:",INDIRECT("'"&amp;B29&amp;"'!A1:A1000"))),1,9999),RESUMO!A29)</f>
        <v>348</v>
      </c>
      <c r="I29">
        <f t="shared" ca="1" si="0"/>
        <v>351</v>
      </c>
      <c r="J29">
        <f t="shared" ca="1" si="1"/>
        <v>358</v>
      </c>
      <c r="K29">
        <f t="shared" ca="1" si="2"/>
        <v>4</v>
      </c>
      <c r="L29">
        <f ca="1">COUNTIF($F$1:F29,F29)</f>
        <v>2</v>
      </c>
      <c r="M29" cm="1">
        <f t="array" aca="1" ref="M29" ca="1">IF(Tabela2[[#This Row],[TIPO]]&lt;&gt;"BASE - POSTO FLU",_xlfn.XLOOKUP(Tabela2[[#This Row],[SUBBACIA]],INDIRECT("'"&amp;Tabela2[[#This Row],[MODELO]]&amp;"'!B1:B5000"),INDIRECT("'"&amp;Tabela2[[#This Row],[MODELO]]&amp;"'!A1:A5000")),"")</f>
        <v>31</v>
      </c>
      <c r="N29" t="str" cm="1">
        <f t="array" aca="1" ref="N2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29" t="str" cm="1">
        <f t="array" aca="1" ref="O2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PSATIMBR</v>
      </c>
    </row>
    <row r="30" spans="1:15" x14ac:dyDescent="0.25">
      <c r="A30">
        <f t="shared" ca="1" si="3"/>
        <v>17</v>
      </c>
      <c r="B30" t="s">
        <v>252</v>
      </c>
      <c r="C30" t="s">
        <v>253</v>
      </c>
      <c r="D30" t="s">
        <v>255</v>
      </c>
      <c r="E30" t="str" cm="1">
        <f t="array" aca="1" ref="E30" ca="1">IF(K30=0,F30,TRIM(OFFSET(INDIRECT("'"&amp;B30&amp;"'!A1"),I30+L30,1)))</f>
        <v>Miranda</v>
      </c>
      <c r="F30" t="str" cm="1">
        <f t="array" aca="1" ref="F30" ca="1">TRIM(SUBSTITUTE(INDEX(INDIRECT("'"&amp;B30&amp;"'!A1:A1000"),H30),"Sub-bacia modelada:",""))</f>
        <v>Itumbiara</v>
      </c>
      <c r="G30" t="str">
        <f t="shared" ca="1" si="4"/>
        <v>NÃO BASE</v>
      </c>
      <c r="H30" cm="1">
        <f t="array" aca="1" ref="H30" ca="1">SMALL(ROW(INDIRECT("'"&amp;B30&amp;"'!A1:A1000"))*IF(ISNUMBER(FIND("Sub-bacia modelada:",INDIRECT("'"&amp;B30&amp;"'!A1:A1000"))),1,9999),RESUMO!A30)</f>
        <v>348</v>
      </c>
      <c r="I30">
        <f t="shared" ca="1" si="0"/>
        <v>351</v>
      </c>
      <c r="J30">
        <f t="shared" ca="1" si="1"/>
        <v>358</v>
      </c>
      <c r="K30">
        <f t="shared" ca="1" si="2"/>
        <v>4</v>
      </c>
      <c r="L30">
        <f ca="1">COUNTIF($F$1:F30,F30)</f>
        <v>3</v>
      </c>
      <c r="M30" cm="1">
        <f t="array" aca="1" ref="M30" ca="1">IF(Tabela2[[#This Row],[TIPO]]&lt;&gt;"BASE - POSTO FLU",_xlfn.XLOOKUP(Tabela2[[#This Row],[SUBBACIA]],INDIRECT("'"&amp;Tabela2[[#This Row],[MODELO]]&amp;"'!B1:B5000"),INDIRECT("'"&amp;Tabela2[[#This Row],[MODELO]]&amp;"'!A1:A5000")),"")</f>
        <v>206</v>
      </c>
      <c r="N30" t="str" cm="1">
        <f t="array" aca="1" ref="N3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30" t="str" cm="1">
        <f t="array" aca="1" ref="O3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31" spans="1:15" x14ac:dyDescent="0.25">
      <c r="A31">
        <f t="shared" ca="1" si="3"/>
        <v>17</v>
      </c>
      <c r="B31" t="s">
        <v>252</v>
      </c>
      <c r="C31" t="s">
        <v>253</v>
      </c>
      <c r="D31" t="s">
        <v>255</v>
      </c>
      <c r="E31" t="str" cm="1">
        <f t="array" aca="1" ref="E31" ca="1">IF(K31=0,F31,TRIM(OFFSET(INDIRECT("'"&amp;B31&amp;"'!A1"),I31+L31,1)))</f>
        <v>Capim Branco 1</v>
      </c>
      <c r="F31" t="str" cm="1">
        <f t="array" aca="1" ref="F31" ca="1">TRIM(SUBSTITUTE(INDEX(INDIRECT("'"&amp;B31&amp;"'!A1:A1000"),H31),"Sub-bacia modelada:",""))</f>
        <v>Itumbiara</v>
      </c>
      <c r="G31" t="str">
        <f t="shared" ca="1" si="4"/>
        <v>NÃO BASE</v>
      </c>
      <c r="H31" cm="1">
        <f t="array" aca="1" ref="H31" ca="1">SMALL(ROW(INDIRECT("'"&amp;B31&amp;"'!A1:A1000"))*IF(ISNUMBER(FIND("Sub-bacia modelada:",INDIRECT("'"&amp;B31&amp;"'!A1:A1000"))),1,9999),RESUMO!A31)</f>
        <v>348</v>
      </c>
      <c r="I31">
        <f t="shared" ca="1" si="0"/>
        <v>351</v>
      </c>
      <c r="J31">
        <f t="shared" ca="1" si="1"/>
        <v>358</v>
      </c>
      <c r="K31">
        <f t="shared" ca="1" si="2"/>
        <v>4</v>
      </c>
      <c r="L31">
        <f ca="1">COUNTIF($F$1:F31,F31)</f>
        <v>4</v>
      </c>
      <c r="M31" cm="1">
        <f t="array" aca="1" ref="M31" ca="1">IF(Tabela2[[#This Row],[TIPO]]&lt;&gt;"BASE - POSTO FLU",_xlfn.XLOOKUP(Tabela2[[#This Row],[SUBBACIA]],INDIRECT("'"&amp;Tabela2[[#This Row],[MODELO]]&amp;"'!B1:B5000"),INDIRECT("'"&amp;Tabela2[[#This Row],[MODELO]]&amp;"'!A1:A5000")),"")</f>
        <v>207</v>
      </c>
      <c r="N31" t="str" cm="1">
        <f t="array" aca="1" ref="N3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31" t="str" cm="1">
        <f t="array" aca="1" ref="O3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32" spans="1:15" x14ac:dyDescent="0.25">
      <c r="A32">
        <f t="shared" ca="1" si="3"/>
        <v>18</v>
      </c>
      <c r="B32" t="s">
        <v>252</v>
      </c>
      <c r="C32" t="s">
        <v>253</v>
      </c>
      <c r="D32" t="s">
        <v>255</v>
      </c>
      <c r="E32" t="str" cm="1">
        <f t="array" aca="1" ref="E32" ca="1">IF(K32=0,F32,TRIM(OFFSET(INDIRECT("'"&amp;B32&amp;"'!A1"),I32+L32,1)))</f>
        <v>Abaixo do Rio Verde</v>
      </c>
      <c r="F32" t="str" cm="1">
        <f t="array" aca="1" ref="F32" ca="1">TRIM(SUBSTITUTE(INDEX(INDIRECT("'"&amp;B32&amp;"'!A1:A1000"),H32),"Sub-bacia modelada:",""))</f>
        <v>Abaixo do Rio Verde</v>
      </c>
      <c r="G32" t="str">
        <f t="shared" ca="1" si="4"/>
        <v>BASE - POSTO FLU</v>
      </c>
      <c r="H32" cm="1">
        <f t="array" aca="1" ref="H32" ca="1">SMALL(ROW(INDIRECT("'"&amp;B32&amp;"'!A1:A1000"))*IF(ISNUMBER(FIND("Sub-bacia modelada:",INDIRECT("'"&amp;B32&amp;"'!A1:A1000"))),1,9999),RESUMO!A32)</f>
        <v>372</v>
      </c>
      <c r="I32">
        <f t="shared" ca="1" si="0"/>
        <v>375</v>
      </c>
      <c r="J32">
        <f t="shared" ca="1" si="1"/>
        <v>379</v>
      </c>
      <c r="K32">
        <f t="shared" ca="1" si="2"/>
        <v>0</v>
      </c>
      <c r="L32">
        <f ca="1">COUNTIF($F$1:F32,F32)</f>
        <v>1</v>
      </c>
      <c r="M32" t="str" cm="1">
        <f t="array" aca="1" ref="M32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32" cm="1">
        <f t="array" aca="1" ref="N3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60805100</v>
      </c>
      <c r="O32" t="str" cm="1">
        <f t="array" aca="1" ref="O3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PSATARV</v>
      </c>
    </row>
    <row r="33" spans="1:15" x14ac:dyDescent="0.25">
      <c r="A33">
        <f t="shared" ca="1" si="3"/>
        <v>19</v>
      </c>
      <c r="B33" t="s">
        <v>252</v>
      </c>
      <c r="C33" t="s">
        <v>253</v>
      </c>
      <c r="D33" t="s">
        <v>255</v>
      </c>
      <c r="E33" t="str" cm="1">
        <f t="array" aca="1" ref="E33" ca="1">IF(K33=0,F33,TRIM(OFFSET(INDIRECT("'"&amp;B33&amp;"'!A1"),I33+L33,1)))</f>
        <v>C. Dourada</v>
      </c>
      <c r="F33" t="str" cm="1">
        <f t="array" aca="1" ref="F33" ca="1">TRIM(SUBSTITUTE(INDEX(INDIRECT("'"&amp;B33&amp;"'!A1:A1000"),H33),"Sub-bacia modelada:",""))</f>
        <v>São Simão</v>
      </c>
      <c r="G33" t="str">
        <f t="shared" ca="1" si="4"/>
        <v>NÃO BASE</v>
      </c>
      <c r="H33" cm="1">
        <f t="array" aca="1" ref="H33" ca="1">SMALL(ROW(INDIRECT("'"&amp;B33&amp;"'!A1:A1000"))*IF(ISNUMBER(FIND("Sub-bacia modelada:",INDIRECT("'"&amp;B33&amp;"'!A1:A1000"))),1,9999),RESUMO!A33)</f>
        <v>393</v>
      </c>
      <c r="I33">
        <f t="shared" ca="1" si="0"/>
        <v>396</v>
      </c>
      <c r="J33">
        <f t="shared" ca="1" si="1"/>
        <v>401</v>
      </c>
      <c r="K33">
        <f t="shared" ca="1" si="2"/>
        <v>2</v>
      </c>
      <c r="L33">
        <f ca="1">COUNTIF($F$1:F33,F33)</f>
        <v>1</v>
      </c>
      <c r="M33" cm="1">
        <f t="array" aca="1" ref="M33" ca="1">IF(Tabela2[[#This Row],[TIPO]]&lt;&gt;"BASE - POSTO FLU",_xlfn.XLOOKUP(Tabela2[[#This Row],[SUBBACIA]],INDIRECT("'"&amp;Tabela2[[#This Row],[MODELO]]&amp;"'!B1:B5000"),INDIRECT("'"&amp;Tabela2[[#This Row],[MODELO]]&amp;"'!A1:A5000")),"")</f>
        <v>32</v>
      </c>
      <c r="N33" t="str" cm="1">
        <f t="array" aca="1" ref="N3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33" t="str" cm="1">
        <f t="array" aca="1" ref="O3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34" spans="1:15" x14ac:dyDescent="0.25">
      <c r="A34">
        <f t="shared" ca="1" si="3"/>
        <v>19</v>
      </c>
      <c r="B34" t="s">
        <v>252</v>
      </c>
      <c r="C34" t="s">
        <v>253</v>
      </c>
      <c r="D34" t="s">
        <v>255</v>
      </c>
      <c r="E34" t="str" cm="1">
        <f t="array" aca="1" ref="E34" ca="1">IF(K34=0,F34,TRIM(OFFSET(INDIRECT("'"&amp;B34&amp;"'!A1"),I34+L34,1)))</f>
        <v>São Simão</v>
      </c>
      <c r="F34" t="str" cm="1">
        <f t="array" aca="1" ref="F34" ca="1">TRIM(SUBSTITUTE(INDEX(INDIRECT("'"&amp;B34&amp;"'!A1:A1000"),H34),"Sub-bacia modelada:",""))</f>
        <v>São Simão</v>
      </c>
      <c r="G34" t="str">
        <f t="shared" ca="1" si="4"/>
        <v>BASE - RESERVATÓRIO</v>
      </c>
      <c r="H34" cm="1">
        <f t="array" aca="1" ref="H34" ca="1">SMALL(ROW(INDIRECT("'"&amp;B34&amp;"'!A1:A1000"))*IF(ISNUMBER(FIND("Sub-bacia modelada:",INDIRECT("'"&amp;B34&amp;"'!A1:A1000"))),1,9999),RESUMO!A34)</f>
        <v>393</v>
      </c>
      <c r="I34">
        <f t="shared" ref="I34:I65" ca="1" si="5">MATCH("Código",INDIRECT("'"&amp;B34&amp;"'!A"&amp;H34&amp;":A"&amp;H34+20),0)+H34-1</f>
        <v>396</v>
      </c>
      <c r="J34">
        <f t="shared" ref="J34:J65" ca="1" si="6">MATCH("Código",INDIRECT("'"&amp;B34&amp;"'!A"&amp;I34+1&amp;":A"&amp;H34+20),0)+I34</f>
        <v>401</v>
      </c>
      <c r="K34">
        <f t="shared" ref="K34:K65" ca="1" si="7">COUNT(INDIRECT("'"&amp;B34&amp;"'!A"&amp;I34&amp;":A"&amp;J34))</f>
        <v>2</v>
      </c>
      <c r="L34">
        <f ca="1">COUNTIF($F$1:F34,F34)</f>
        <v>2</v>
      </c>
      <c r="M34" cm="1">
        <f t="array" aca="1" ref="M34" ca="1">IF(Tabela2[[#This Row],[TIPO]]&lt;&gt;"BASE - POSTO FLU",_xlfn.XLOOKUP(Tabela2[[#This Row],[SUBBACIA]],INDIRECT("'"&amp;Tabela2[[#This Row],[MODELO]]&amp;"'!B1:B5000"),INDIRECT("'"&amp;Tabela2[[#This Row],[MODELO]]&amp;"'!A1:A5000")),"")</f>
        <v>33</v>
      </c>
      <c r="N34" t="str" cm="1">
        <f t="array" aca="1" ref="N3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34" t="str" cm="1">
        <f t="array" aca="1" ref="O3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PSATSSM</v>
      </c>
    </row>
    <row r="35" spans="1:15" x14ac:dyDescent="0.25">
      <c r="A35">
        <f t="shared" ca="1" si="3"/>
        <v>20</v>
      </c>
      <c r="B35" t="s">
        <v>252</v>
      </c>
      <c r="C35" t="s">
        <v>253</v>
      </c>
      <c r="D35" t="s">
        <v>255</v>
      </c>
      <c r="E35" t="str" cm="1">
        <f t="array" aca="1" ref="E35" ca="1">IF(K35=0,F35,TRIM(OFFSET(INDIRECT("'"&amp;B35&amp;"'!A1"),I35+L35,1)))</f>
        <v>Espora</v>
      </c>
      <c r="F35" t="str" cm="1">
        <f t="array" aca="1" ref="F35" ca="1">TRIM(SUBSTITUTE(INDEX(INDIRECT("'"&amp;B35&amp;"'!A1:A1000"),H35),"Sub-bacia modelada:",""))</f>
        <v>Espora</v>
      </c>
      <c r="G35" t="str">
        <f t="shared" ca="1" si="4"/>
        <v>BASE - RESERVATÓRIO</v>
      </c>
      <c r="H35" cm="1">
        <f t="array" aca="1" ref="H35" ca="1">SMALL(ROW(INDIRECT("'"&amp;B35&amp;"'!A1:A1000"))*IF(ISNUMBER(FIND("Sub-bacia modelada:",INDIRECT("'"&amp;B35&amp;"'!A1:A1000"))),1,9999),RESUMO!A35)</f>
        <v>415</v>
      </c>
      <c r="I35">
        <f t="shared" ca="1" si="5"/>
        <v>418</v>
      </c>
      <c r="J35">
        <f t="shared" ca="1" si="6"/>
        <v>422</v>
      </c>
      <c r="K35">
        <f t="shared" ca="1" si="7"/>
        <v>1</v>
      </c>
      <c r="L35">
        <f ca="1">COUNTIF($F$1:F35,F35)</f>
        <v>1</v>
      </c>
      <c r="M35" cm="1">
        <f t="array" aca="1" ref="M35" ca="1">IF(Tabela2[[#This Row],[TIPO]]&lt;&gt;"BASE - POSTO FLU",_xlfn.XLOOKUP(Tabela2[[#This Row],[SUBBACIA]],INDIRECT("'"&amp;Tabela2[[#This Row],[MODELO]]&amp;"'!B1:B5000"),INDIRECT("'"&amp;Tabela2[[#This Row],[MODELO]]&amp;"'!A1:A5000")),"")</f>
        <v>99</v>
      </c>
      <c r="N35" t="str" cm="1">
        <f t="array" aca="1" ref="N3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35" t="str" cm="1">
        <f t="array" aca="1" ref="O3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PSATESP</v>
      </c>
    </row>
    <row r="36" spans="1:15" x14ac:dyDescent="0.25">
      <c r="A36">
        <f t="shared" ca="1" si="3"/>
        <v>21</v>
      </c>
      <c r="B36" t="s">
        <v>252</v>
      </c>
      <c r="C36" t="s">
        <v>253</v>
      </c>
      <c r="D36" t="s">
        <v>255</v>
      </c>
      <c r="E36" t="str" cm="1">
        <f t="array" aca="1" ref="E36" ca="1">IF(K36=0,F36,TRIM(OFFSET(INDIRECT("'"&amp;B36&amp;"'!A1"),I36+L36,1)))</f>
        <v>B. Coqueiros</v>
      </c>
      <c r="F36" t="str" cm="1">
        <f t="array" aca="1" ref="F36" ca="1">TRIM(SUBSTITUTE(INDEX(INDIRECT("'"&amp;B36&amp;"'!A1:A1000"),H36),"Sub-bacia modelada:",""))</f>
        <v>Foz do Rio Claro</v>
      </c>
      <c r="G36" t="str">
        <f t="shared" ca="1" si="4"/>
        <v>NÃO BASE</v>
      </c>
      <c r="H36" cm="1">
        <f t="array" aca="1" ref="H36" ca="1">SMALL(ROW(INDIRECT("'"&amp;B36&amp;"'!A1:A1000"))*IF(ISNUMBER(FIND("Sub-bacia modelada:",INDIRECT("'"&amp;B36&amp;"'!A1:A1000"))),1,9999),RESUMO!A36)</f>
        <v>436</v>
      </c>
      <c r="I36">
        <f t="shared" ca="1" si="5"/>
        <v>439</v>
      </c>
      <c r="J36">
        <f t="shared" ca="1" si="6"/>
        <v>445</v>
      </c>
      <c r="K36">
        <f t="shared" ca="1" si="7"/>
        <v>3</v>
      </c>
      <c r="L36">
        <f ca="1">COUNTIF($F$1:F36,F36)</f>
        <v>1</v>
      </c>
      <c r="M36" cm="1">
        <f t="array" aca="1" ref="M36" ca="1">IF(Tabela2[[#This Row],[TIPO]]&lt;&gt;"BASE - POSTO FLU",_xlfn.XLOOKUP(Tabela2[[#This Row],[SUBBACIA]],INDIRECT("'"&amp;Tabela2[[#This Row],[MODELO]]&amp;"'!B1:B5000"),INDIRECT("'"&amp;Tabela2[[#This Row],[MODELO]]&amp;"'!A1:A5000")),"")</f>
        <v>248</v>
      </c>
      <c r="N36" t="str" cm="1">
        <f t="array" aca="1" ref="N3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36" t="str" cm="1">
        <f t="array" aca="1" ref="O3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37" spans="1:15" x14ac:dyDescent="0.25">
      <c r="A37">
        <f t="shared" ca="1" si="3"/>
        <v>21</v>
      </c>
      <c r="B37" t="s">
        <v>252</v>
      </c>
      <c r="C37" t="s">
        <v>253</v>
      </c>
      <c r="D37" t="s">
        <v>255</v>
      </c>
      <c r="E37" t="str" cm="1">
        <f t="array" aca="1" ref="E37" ca="1">IF(K37=0,F37,TRIM(OFFSET(INDIRECT("'"&amp;B37&amp;"'!A1"),I37+L37,1)))</f>
        <v>Cacu</v>
      </c>
      <c r="F37" t="str" cm="1">
        <f t="array" aca="1" ref="F37" ca="1">TRIM(SUBSTITUTE(INDEX(INDIRECT("'"&amp;B37&amp;"'!A1:A1000"),H37),"Sub-bacia modelada:",""))</f>
        <v>Foz do Rio Claro</v>
      </c>
      <c r="G37" t="str">
        <f t="shared" ca="1" si="4"/>
        <v>NÃO BASE</v>
      </c>
      <c r="H37" cm="1">
        <f t="array" aca="1" ref="H37" ca="1">SMALL(ROW(INDIRECT("'"&amp;B37&amp;"'!A1:A1000"))*IF(ISNUMBER(FIND("Sub-bacia modelada:",INDIRECT("'"&amp;B37&amp;"'!A1:A1000"))),1,9999),RESUMO!A37)</f>
        <v>436</v>
      </c>
      <c r="I37">
        <f t="shared" ca="1" si="5"/>
        <v>439</v>
      </c>
      <c r="J37">
        <f t="shared" ca="1" si="6"/>
        <v>445</v>
      </c>
      <c r="K37">
        <f t="shared" ca="1" si="7"/>
        <v>3</v>
      </c>
      <c r="L37">
        <f ca="1">COUNTIF($F$1:F37,F37)</f>
        <v>2</v>
      </c>
      <c r="M37" cm="1">
        <f t="array" aca="1" ref="M37" ca="1">IF(Tabela2[[#This Row],[TIPO]]&lt;&gt;"BASE - POSTO FLU",_xlfn.XLOOKUP(Tabela2[[#This Row],[SUBBACIA]],INDIRECT("'"&amp;Tabela2[[#This Row],[MODELO]]&amp;"'!B1:B5000"),INDIRECT("'"&amp;Tabela2[[#This Row],[MODELO]]&amp;"'!A1:A5000")),"")</f>
        <v>247</v>
      </c>
      <c r="N37" t="str" cm="1">
        <f t="array" aca="1" ref="N3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37" t="str" cm="1">
        <f t="array" aca="1" ref="O3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38" spans="1:15" x14ac:dyDescent="0.25">
      <c r="A38">
        <f t="shared" ca="1" si="3"/>
        <v>21</v>
      </c>
      <c r="B38" t="s">
        <v>252</v>
      </c>
      <c r="C38" t="s">
        <v>253</v>
      </c>
      <c r="D38" t="s">
        <v>255</v>
      </c>
      <c r="E38" t="str" cm="1">
        <f t="array" aca="1" ref="E38" ca="1">IF(K38=0,F38,TRIM(OFFSET(INDIRECT("'"&amp;B38&amp;"'!A1"),I38+L38,1)))</f>
        <v>Foz do Rio Claro</v>
      </c>
      <c r="F38" t="str" cm="1">
        <f t="array" aca="1" ref="F38" ca="1">TRIM(SUBSTITUTE(INDEX(INDIRECT("'"&amp;B38&amp;"'!A1:A1000"),H38),"Sub-bacia modelada:",""))</f>
        <v>Foz do Rio Claro</v>
      </c>
      <c r="G38" t="str">
        <f t="shared" ca="1" si="4"/>
        <v>BASE - RESERVATÓRIO</v>
      </c>
      <c r="H38" cm="1">
        <f t="array" aca="1" ref="H38" ca="1">SMALL(ROW(INDIRECT("'"&amp;B38&amp;"'!A1:A1000"))*IF(ISNUMBER(FIND("Sub-bacia modelada:",INDIRECT("'"&amp;B38&amp;"'!A1:A1000"))),1,9999),RESUMO!A38)</f>
        <v>436</v>
      </c>
      <c r="I38">
        <f t="shared" ca="1" si="5"/>
        <v>439</v>
      </c>
      <c r="J38">
        <f t="shared" ca="1" si="6"/>
        <v>445</v>
      </c>
      <c r="K38">
        <f t="shared" ca="1" si="7"/>
        <v>3</v>
      </c>
      <c r="L38">
        <f ca="1">COUNTIF($F$1:F38,F38)</f>
        <v>3</v>
      </c>
      <c r="M38" cm="1">
        <f t="array" aca="1" ref="M38" ca="1">IF(Tabela2[[#This Row],[TIPO]]&lt;&gt;"BASE - POSTO FLU",_xlfn.XLOOKUP(Tabela2[[#This Row],[SUBBACIA]],INDIRECT("'"&amp;Tabela2[[#This Row],[MODELO]]&amp;"'!B1:B5000"),INDIRECT("'"&amp;Tabela2[[#This Row],[MODELO]]&amp;"'!A1:A5000")),"")</f>
        <v>261</v>
      </c>
      <c r="N38" t="str" cm="1">
        <f t="array" aca="1" ref="N3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38" t="str" cm="1">
        <f t="array" aca="1" ref="O3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PSATFRCL</v>
      </c>
    </row>
    <row r="39" spans="1:15" x14ac:dyDescent="0.25">
      <c r="A39">
        <f t="shared" ca="1" si="3"/>
        <v>22</v>
      </c>
      <c r="B39" t="s">
        <v>252</v>
      </c>
      <c r="C39" t="s">
        <v>253</v>
      </c>
      <c r="D39" t="s">
        <v>255</v>
      </c>
      <c r="E39" t="str" cm="1">
        <f t="array" aca="1" ref="E39" ca="1">IF(K39=0,F39,TRIM(OFFSET(INDIRECT("'"&amp;B39&amp;"'!A1"),I39+L39,1)))</f>
        <v>S.R. Verdinho</v>
      </c>
      <c r="F39" t="str" cm="1">
        <f t="array" aca="1" ref="F39" ca="1">TRIM(SUBSTITUTE(INDEX(INDIRECT("'"&amp;B39&amp;"'!A1:A1000"),H39),"Sub-bacia modelada:",""))</f>
        <v>Salto Rio Verdinho</v>
      </c>
      <c r="G39" t="s">
        <v>256</v>
      </c>
      <c r="H39" cm="1">
        <f t="array" aca="1" ref="H39" ca="1">SMALL(ROW(INDIRECT("'"&amp;B39&amp;"'!A1:A1000"))*IF(ISNUMBER(FIND("Sub-bacia modelada:",INDIRECT("'"&amp;B39&amp;"'!A1:A1000"))),1,9999),RESUMO!A39)</f>
        <v>459</v>
      </c>
      <c r="I39">
        <f t="shared" ca="1" si="5"/>
        <v>462</v>
      </c>
      <c r="J39">
        <f t="shared" ca="1" si="6"/>
        <v>467</v>
      </c>
      <c r="K39">
        <f t="shared" ca="1" si="7"/>
        <v>2</v>
      </c>
      <c r="L39">
        <f ca="1">COUNTIF($F$1:F39,F39)</f>
        <v>1</v>
      </c>
      <c r="M39" cm="1">
        <f t="array" aca="1" ref="M39" ca="1">IF(Tabela2[[#This Row],[TIPO]]&lt;&gt;"BASE - POSTO FLU",_xlfn.XLOOKUP(Tabela2[[#This Row],[SUBBACIA]],INDIRECT("'"&amp;Tabela2[[#This Row],[MODELO]]&amp;"'!B1:B5000"),INDIRECT("'"&amp;Tabela2[[#This Row],[MODELO]]&amp;"'!A1:A5000")),"")</f>
        <v>241</v>
      </c>
      <c r="N39" t="str" cm="1">
        <f t="array" aca="1" ref="N3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39" t="str" cm="1">
        <f t="array" aca="1" ref="O3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PSATSRC</v>
      </c>
    </row>
    <row r="40" spans="1:15" x14ac:dyDescent="0.25">
      <c r="A40">
        <f t="shared" ca="1" si="3"/>
        <v>22</v>
      </c>
      <c r="B40" t="s">
        <v>252</v>
      </c>
      <c r="C40" t="s">
        <v>253</v>
      </c>
      <c r="D40" t="s">
        <v>255</v>
      </c>
      <c r="E40" t="str" cm="1">
        <f t="array" aca="1" ref="E40" ca="1">IF(K40=0,F40,TRIM(OFFSET(INDIRECT("'"&amp;B40&amp;"'!A1"),I40+L40,1)))</f>
        <v>Salto</v>
      </c>
      <c r="F40" t="str" cm="1">
        <f t="array" aca="1" ref="F40" ca="1">TRIM(SUBSTITUTE(INDEX(INDIRECT("'"&amp;B40&amp;"'!A1:A1000"),H40),"Sub-bacia modelada:",""))</f>
        <v>Salto Rio Verdinho</v>
      </c>
      <c r="G40" t="str">
        <f t="shared" ca="1" si="4"/>
        <v>NÃO BASE</v>
      </c>
      <c r="H40" cm="1">
        <f t="array" aca="1" ref="H40" ca="1">SMALL(ROW(INDIRECT("'"&amp;B40&amp;"'!A1:A1000"))*IF(ISNUMBER(FIND("Sub-bacia modelada:",INDIRECT("'"&amp;B40&amp;"'!A1:A1000"))),1,9999),RESUMO!A40)</f>
        <v>459</v>
      </c>
      <c r="I40">
        <f t="shared" ca="1" si="5"/>
        <v>462</v>
      </c>
      <c r="J40">
        <f t="shared" ca="1" si="6"/>
        <v>467</v>
      </c>
      <c r="K40">
        <f t="shared" ca="1" si="7"/>
        <v>2</v>
      </c>
      <c r="L40">
        <f ca="1">COUNTIF($F$1:F40,F40)</f>
        <v>2</v>
      </c>
      <c r="M40" cm="1">
        <f t="array" aca="1" ref="M40" ca="1">IF(Tabela2[[#This Row],[TIPO]]&lt;&gt;"BASE - POSTO FLU",_xlfn.XLOOKUP(Tabela2[[#This Row],[SUBBACIA]],INDIRECT("'"&amp;Tabela2[[#This Row],[MODELO]]&amp;"'!B1:B5000"),INDIRECT("'"&amp;Tabela2[[#This Row],[MODELO]]&amp;"'!A1:A5000")),"")</f>
        <v>294</v>
      </c>
      <c r="N40" t="str" cm="1">
        <f t="array" aca="1" ref="N4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0" t="str" cm="1">
        <f t="array" aca="1" ref="O4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41" spans="1:15" x14ac:dyDescent="0.25">
      <c r="A41">
        <v>1</v>
      </c>
      <c r="B41" t="s">
        <v>257</v>
      </c>
      <c r="C41" t="s">
        <v>258</v>
      </c>
      <c r="D41" t="s">
        <v>259</v>
      </c>
      <c r="E41" t="str" cm="1">
        <f t="array" aca="1" ref="E41" ca="1">IF(K41=0,F41,TRIM(OFFSET(INDIRECT("'"&amp;B41&amp;"'!A1"),I41+L41,1)))</f>
        <v>Mauá</v>
      </c>
      <c r="F41" t="str" cm="1">
        <f t="array" aca="1" ref="F41" ca="1">TRIM(SUBSTITUTE(INDEX(INDIRECT("'"&amp;B41&amp;"'!A1:A1000"),H41),"Sub-bacia modelada:",""))</f>
        <v>Mauá</v>
      </c>
      <c r="G41" t="str">
        <f t="shared" ca="1" si="4"/>
        <v>BASE - RESERVATÓRIO</v>
      </c>
      <c r="H41" cm="1">
        <f t="array" aca="1" ref="H41" ca="1">SMALL(ROW(INDIRECT("'"&amp;B41&amp;"'!A1:A1000"))*IF(ISNUMBER(FIND("Sub-bacia modelada:",INDIRECT("'"&amp;B41&amp;"'!A1:A1000"))),1,9999),RESUMO!A41)</f>
        <v>2</v>
      </c>
      <c r="I41">
        <f t="shared" ca="1" si="5"/>
        <v>5</v>
      </c>
      <c r="J41">
        <f t="shared" ca="1" si="6"/>
        <v>9</v>
      </c>
      <c r="K41">
        <f t="shared" ca="1" si="7"/>
        <v>1</v>
      </c>
      <c r="L41">
        <f ca="1">COUNTIF($F$1:F41,F41)</f>
        <v>1</v>
      </c>
      <c r="M41" cm="1">
        <f t="array" aca="1" ref="M41" ca="1">IF(Tabela2[[#This Row],[TIPO]]&lt;&gt;"BASE - POSTO FLU",_xlfn.XLOOKUP(Tabela2[[#This Row],[SUBBACIA]],INDIRECT("'"&amp;Tabela2[[#This Row],[MODELO]]&amp;"'!B1:B5000"),INDIRECT("'"&amp;Tabela2[[#This Row],[MODELO]]&amp;"'!A1:A5000")),"")</f>
        <v>57</v>
      </c>
      <c r="N41" t="str" cm="1">
        <f t="array" aca="1" ref="N4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1" t="str" cm="1">
        <f t="array" aca="1" ref="O4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PSATMAU</v>
      </c>
    </row>
    <row r="42" spans="1:15" x14ac:dyDescent="0.25">
      <c r="A42">
        <f t="shared" ref="A42:A72" ca="1" si="8">IF(AND(K41&gt;1,L41&lt;&gt;K41),A41,A41+1)</f>
        <v>2</v>
      </c>
      <c r="B42" t="s">
        <v>257</v>
      </c>
      <c r="C42" t="s">
        <v>258</v>
      </c>
      <c r="D42" t="s">
        <v>259</v>
      </c>
      <c r="E42" t="str" cm="1">
        <f t="array" aca="1" ref="E42" ca="1">IF(K42=0,F42,TRIM(OFFSET(INDIRECT("'"&amp;B42&amp;"'!A1"),I42+L42,1)))</f>
        <v>Jurumirim</v>
      </c>
      <c r="F42" t="str" cm="1">
        <f t="array" aca="1" ref="F42" ca="1">TRIM(SUBSTITUTE(INDEX(INDIRECT("'"&amp;B42&amp;"'!A1:A1000"),H42),"Sub-bacia modelada:",""))</f>
        <v>Jurumirim</v>
      </c>
      <c r="G42" t="str">
        <f t="shared" ca="1" si="4"/>
        <v>BASE - RESERVATÓRIO</v>
      </c>
      <c r="H42" cm="1">
        <f t="array" aca="1" ref="H42" ca="1">SMALL(ROW(INDIRECT("'"&amp;B42&amp;"'!A1:A1000"))*IF(ISNUMBER(FIND("Sub-bacia modelada:",INDIRECT("'"&amp;B42&amp;"'!A1:A1000"))),1,9999),RESUMO!A42)</f>
        <v>23</v>
      </c>
      <c r="I42">
        <f t="shared" ca="1" si="5"/>
        <v>26</v>
      </c>
      <c r="J42">
        <f t="shared" ca="1" si="6"/>
        <v>30</v>
      </c>
      <c r="K42">
        <f t="shared" ca="1" si="7"/>
        <v>1</v>
      </c>
      <c r="L42">
        <f ca="1">COUNTIF($F$1:F42,F42)</f>
        <v>1</v>
      </c>
      <c r="M42" cm="1">
        <f t="array" aca="1" ref="M42" ca="1">IF(Tabela2[[#This Row],[TIPO]]&lt;&gt;"BASE - POSTO FLU",_xlfn.XLOOKUP(Tabela2[[#This Row],[SUBBACIA]],INDIRECT("'"&amp;Tabela2[[#This Row],[MODELO]]&amp;"'!B1:B5000"),INDIRECT("'"&amp;Tabela2[[#This Row],[MODELO]]&amp;"'!A1:A5000")),"")</f>
        <v>47</v>
      </c>
      <c r="N42" t="str" cm="1">
        <f t="array" aca="1" ref="N4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2" t="str" cm="1">
        <f t="array" aca="1" ref="O4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PSATJUR</v>
      </c>
    </row>
    <row r="43" spans="1:15" x14ac:dyDescent="0.25">
      <c r="A43">
        <f t="shared" ca="1" si="8"/>
        <v>3</v>
      </c>
      <c r="B43" t="s">
        <v>257</v>
      </c>
      <c r="C43" t="s">
        <v>258</v>
      </c>
      <c r="D43" t="s">
        <v>259</v>
      </c>
      <c r="E43" t="str" cm="1">
        <f t="array" aca="1" ref="E43" ca="1">IF(K43=0,F43,TRIM(OFFSET(INDIRECT("'"&amp;B43&amp;"'!A1"),I43+L43,1)))</f>
        <v>Piraju</v>
      </c>
      <c r="F43" t="str" cm="1">
        <f t="array" aca="1" ref="F43" ca="1">TRIM(SUBSTITUTE(INDEX(INDIRECT("'"&amp;B43&amp;"'!A1:A1000"),H43),"Sub-bacia modelada:",""))</f>
        <v>Chavantes</v>
      </c>
      <c r="G43" t="str">
        <f t="shared" ca="1" si="4"/>
        <v>NÃO BASE</v>
      </c>
      <c r="H43" cm="1">
        <f t="array" aca="1" ref="H43" ca="1">SMALL(ROW(INDIRECT("'"&amp;B43&amp;"'!A1:A1000"))*IF(ISNUMBER(FIND("Sub-bacia modelada:",INDIRECT("'"&amp;B43&amp;"'!A1:A1000"))),1,9999),RESUMO!A43)</f>
        <v>44</v>
      </c>
      <c r="I43">
        <f t="shared" ca="1" si="5"/>
        <v>47</v>
      </c>
      <c r="J43">
        <f t="shared" ca="1" si="6"/>
        <v>53</v>
      </c>
      <c r="K43">
        <f t="shared" ca="1" si="7"/>
        <v>3</v>
      </c>
      <c r="L43">
        <f ca="1">COUNTIF($F$1:F43,F43)</f>
        <v>1</v>
      </c>
      <c r="M43" cm="1">
        <f t="array" aca="1" ref="M43" ca="1">IF(Tabela2[[#This Row],[TIPO]]&lt;&gt;"BASE - POSTO FLU",_xlfn.XLOOKUP(Tabela2[[#This Row],[SUBBACIA]],INDIRECT("'"&amp;Tabela2[[#This Row],[MODELO]]&amp;"'!B1:B5000"),INDIRECT("'"&amp;Tabela2[[#This Row],[MODELO]]&amp;"'!A1:A5000")),"")</f>
        <v>48</v>
      </c>
      <c r="N43" t="str" cm="1">
        <f t="array" aca="1" ref="N4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3" t="str" cm="1">
        <f t="array" aca="1" ref="O4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44" spans="1:15" x14ac:dyDescent="0.25">
      <c r="A44">
        <f t="shared" ca="1" si="8"/>
        <v>3</v>
      </c>
      <c r="B44" t="s">
        <v>257</v>
      </c>
      <c r="C44" t="s">
        <v>258</v>
      </c>
      <c r="D44" t="s">
        <v>259</v>
      </c>
      <c r="E44" t="str" cm="1">
        <f t="array" aca="1" ref="E44" ca="1">IF(K44=0,F44,TRIM(OFFSET(INDIRECT("'"&amp;B44&amp;"'!A1"),I44+L44,1)))</f>
        <v>Paranapanema</v>
      </c>
      <c r="F44" t="str" cm="1">
        <f t="array" aca="1" ref="F44" ca="1">TRIM(SUBSTITUTE(INDEX(INDIRECT("'"&amp;B44&amp;"'!A1:A1000"),H44),"Sub-bacia modelada:",""))</f>
        <v>Chavantes</v>
      </c>
      <c r="G44" t="str">
        <f t="shared" ca="1" si="4"/>
        <v>NÃO BASE</v>
      </c>
      <c r="H44" cm="1">
        <f t="array" aca="1" ref="H44" ca="1">SMALL(ROW(INDIRECT("'"&amp;B44&amp;"'!A1:A1000"))*IF(ISNUMBER(FIND("Sub-bacia modelada:",INDIRECT("'"&amp;B44&amp;"'!A1:A1000"))),1,9999),RESUMO!A44)</f>
        <v>44</v>
      </c>
      <c r="I44">
        <f t="shared" ca="1" si="5"/>
        <v>47</v>
      </c>
      <c r="J44">
        <f t="shared" ca="1" si="6"/>
        <v>53</v>
      </c>
      <c r="K44">
        <f t="shared" ca="1" si="7"/>
        <v>3</v>
      </c>
      <c r="L44">
        <f ca="1">COUNTIF($F$1:F44,F44)</f>
        <v>2</v>
      </c>
      <c r="M44" cm="1">
        <f t="array" aca="1" ref="M44" ca="1">IF(Tabela2[[#This Row],[TIPO]]&lt;&gt;"BASE - POSTO FLU",_xlfn.XLOOKUP(Tabela2[[#This Row],[SUBBACIA]],INDIRECT("'"&amp;Tabela2[[#This Row],[MODELO]]&amp;"'!B1:B5000"),INDIRECT("'"&amp;Tabela2[[#This Row],[MODELO]]&amp;"'!A1:A5000")),"")</f>
        <v>53</v>
      </c>
      <c r="N44" t="str" cm="1">
        <f t="array" aca="1" ref="N4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4" t="str" cm="1">
        <f t="array" aca="1" ref="O4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45" spans="1:15" x14ac:dyDescent="0.25">
      <c r="A45">
        <f t="shared" ca="1" si="8"/>
        <v>3</v>
      </c>
      <c r="B45" t="s">
        <v>257</v>
      </c>
      <c r="C45" t="s">
        <v>258</v>
      </c>
      <c r="D45" t="s">
        <v>259</v>
      </c>
      <c r="E45" t="str" cm="1">
        <f t="array" aca="1" ref="E45" ca="1">IF(K45=0,F45,TRIM(OFFSET(INDIRECT("'"&amp;B45&amp;"'!A1"),I45+L45,1)))</f>
        <v>Chavantes</v>
      </c>
      <c r="F45" t="str" cm="1">
        <f t="array" aca="1" ref="F45" ca="1">TRIM(SUBSTITUTE(INDEX(INDIRECT("'"&amp;B45&amp;"'!A1:A1000"),H45),"Sub-bacia modelada:",""))</f>
        <v>Chavantes</v>
      </c>
      <c r="G45" t="str">
        <f t="shared" ca="1" si="4"/>
        <v>BASE - RESERVATÓRIO</v>
      </c>
      <c r="H45" cm="1">
        <f t="array" aca="1" ref="H45" ca="1">SMALL(ROW(INDIRECT("'"&amp;B45&amp;"'!A1:A1000"))*IF(ISNUMBER(FIND("Sub-bacia modelada:",INDIRECT("'"&amp;B45&amp;"'!A1:A1000"))),1,9999),RESUMO!A45)</f>
        <v>44</v>
      </c>
      <c r="I45">
        <f t="shared" ca="1" si="5"/>
        <v>47</v>
      </c>
      <c r="J45">
        <f t="shared" ca="1" si="6"/>
        <v>53</v>
      </c>
      <c r="K45">
        <f t="shared" ca="1" si="7"/>
        <v>3</v>
      </c>
      <c r="L45">
        <f ca="1">COUNTIF($F$1:F45,F45)</f>
        <v>3</v>
      </c>
      <c r="M45" cm="1">
        <f t="array" aca="1" ref="M45" ca="1">IF(Tabela2[[#This Row],[TIPO]]&lt;&gt;"BASE - POSTO FLU",_xlfn.XLOOKUP(Tabela2[[#This Row],[SUBBACIA]],INDIRECT("'"&amp;Tabela2[[#This Row],[MODELO]]&amp;"'!B1:B5000"),INDIRECT("'"&amp;Tabela2[[#This Row],[MODELO]]&amp;"'!A1:A5000")),"")</f>
        <v>49</v>
      </c>
      <c r="N45" t="str" cm="1">
        <f t="array" aca="1" ref="N4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5" t="str" cm="1">
        <f t="array" aca="1" ref="O4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PSATCHT</v>
      </c>
    </row>
    <row r="46" spans="1:15" x14ac:dyDescent="0.25">
      <c r="A46">
        <f t="shared" ca="1" si="8"/>
        <v>4</v>
      </c>
      <c r="B46" t="s">
        <v>257</v>
      </c>
      <c r="C46" t="s">
        <v>258</v>
      </c>
      <c r="D46" t="s">
        <v>259</v>
      </c>
      <c r="E46" t="str" cm="1">
        <f t="array" aca="1" ref="E46" ca="1">IF(K46=0,F46,TRIM(OFFSET(INDIRECT("'"&amp;B46&amp;"'!A1"),I46+L46,1)))</f>
        <v>Salto Grande CS</v>
      </c>
      <c r="F46" t="str" cm="1">
        <f t="array" aca="1" ref="F46" ca="1">TRIM(SUBSTITUTE(INDEX(INDIRECT("'"&amp;B46&amp;"'!A1:A1000"),H46),"Sub-bacia modelada:",""))</f>
        <v>Canoas I</v>
      </c>
      <c r="G46" t="str">
        <f t="shared" ca="1" si="4"/>
        <v>NÃO BASE</v>
      </c>
      <c r="H46" cm="1">
        <f t="array" aca="1" ref="H46" ca="1">SMALL(ROW(INDIRECT("'"&amp;B46&amp;"'!A1:A1000"))*IF(ISNUMBER(FIND("Sub-bacia modelada:",INDIRECT("'"&amp;B46&amp;"'!A1:A1000"))),1,9999),RESUMO!A46)</f>
        <v>67</v>
      </c>
      <c r="I46">
        <f t="shared" ca="1" si="5"/>
        <v>70</v>
      </c>
      <c r="J46">
        <f t="shared" ca="1" si="6"/>
        <v>77</v>
      </c>
      <c r="K46">
        <f t="shared" ca="1" si="7"/>
        <v>4</v>
      </c>
      <c r="L46">
        <f ca="1">COUNTIF($F$1:F46,F46)</f>
        <v>1</v>
      </c>
      <c r="M46" cm="1">
        <f t="array" aca="1" ref="M46" ca="1">IF(Tabela2[[#This Row],[TIPO]]&lt;&gt;"BASE - POSTO FLU",_xlfn.XLOOKUP(Tabela2[[#This Row],[SUBBACIA]],INDIRECT("'"&amp;Tabela2[[#This Row],[MODELO]]&amp;"'!B1:B5000"),INDIRECT("'"&amp;Tabela2[[#This Row],[MODELO]]&amp;"'!A1:A5000")),"")</f>
        <v>50</v>
      </c>
      <c r="N46" t="str" cm="1">
        <f t="array" aca="1" ref="N4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6" t="str" cm="1">
        <f t="array" aca="1" ref="O4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47" spans="1:15" x14ac:dyDescent="0.25">
      <c r="A47">
        <f t="shared" ca="1" si="8"/>
        <v>4</v>
      </c>
      <c r="B47" t="s">
        <v>257</v>
      </c>
      <c r="C47" t="s">
        <v>258</v>
      </c>
      <c r="D47" t="s">
        <v>259</v>
      </c>
      <c r="E47" t="str" cm="1">
        <f t="array" aca="1" ref="E47" ca="1">IF(K47=0,F47,TRIM(OFFSET(INDIRECT("'"&amp;B47&amp;"'!A1"),I47+L47,1)))</f>
        <v>Canoas II</v>
      </c>
      <c r="F47" t="str" cm="1">
        <f t="array" aca="1" ref="F47" ca="1">TRIM(SUBSTITUTE(INDEX(INDIRECT("'"&amp;B47&amp;"'!A1:A1000"),H47),"Sub-bacia modelada:",""))</f>
        <v>Canoas I</v>
      </c>
      <c r="G47" t="str">
        <f t="shared" ca="1" si="4"/>
        <v>NÃO BASE</v>
      </c>
      <c r="H47" cm="1">
        <f t="array" aca="1" ref="H47" ca="1">SMALL(ROW(INDIRECT("'"&amp;B47&amp;"'!A1:A1000"))*IF(ISNUMBER(FIND("Sub-bacia modelada:",INDIRECT("'"&amp;B47&amp;"'!A1:A1000"))),1,9999),RESUMO!A47)</f>
        <v>67</v>
      </c>
      <c r="I47">
        <f t="shared" ca="1" si="5"/>
        <v>70</v>
      </c>
      <c r="J47">
        <f t="shared" ca="1" si="6"/>
        <v>77</v>
      </c>
      <c r="K47">
        <f t="shared" ca="1" si="7"/>
        <v>4</v>
      </c>
      <c r="L47">
        <f ca="1">COUNTIF($F$1:F47,F47)</f>
        <v>2</v>
      </c>
      <c r="M47" cm="1">
        <f t="array" aca="1" ref="M47" ca="1">IF(Tabela2[[#This Row],[TIPO]]&lt;&gt;"BASE - POSTO FLU",_xlfn.XLOOKUP(Tabela2[[#This Row],[SUBBACIA]],INDIRECT("'"&amp;Tabela2[[#This Row],[MODELO]]&amp;"'!B1:B5000"),INDIRECT("'"&amp;Tabela2[[#This Row],[MODELO]]&amp;"'!A1:A5000")),"")</f>
        <v>51</v>
      </c>
      <c r="N47" t="str" cm="1">
        <f t="array" aca="1" ref="N4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7" t="str" cm="1">
        <f t="array" aca="1" ref="O4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48" spans="1:15" x14ac:dyDescent="0.25">
      <c r="A48">
        <f t="shared" ca="1" si="8"/>
        <v>4</v>
      </c>
      <c r="B48" t="s">
        <v>257</v>
      </c>
      <c r="C48" t="s">
        <v>258</v>
      </c>
      <c r="D48" t="s">
        <v>259</v>
      </c>
      <c r="E48" t="str" cm="1">
        <f t="array" aca="1" ref="E48" ca="1">IF(K48=0,F48,TRIM(OFFSET(INDIRECT("'"&amp;B48&amp;"'!A1"),I48+L48,1)))</f>
        <v>Canoas I</v>
      </c>
      <c r="F48" t="str" cm="1">
        <f t="array" aca="1" ref="F48" ca="1">TRIM(SUBSTITUTE(INDEX(INDIRECT("'"&amp;B48&amp;"'!A1:A1000"),H48),"Sub-bacia modelada:",""))</f>
        <v>Canoas I</v>
      </c>
      <c r="G48" t="str">
        <f t="shared" ca="1" si="4"/>
        <v>BASE - RESERVATÓRIO</v>
      </c>
      <c r="H48" cm="1">
        <f t="array" aca="1" ref="H48" ca="1">SMALL(ROW(INDIRECT("'"&amp;B48&amp;"'!A1:A1000"))*IF(ISNUMBER(FIND("Sub-bacia modelada:",INDIRECT("'"&amp;B48&amp;"'!A1:A1000"))),1,9999),RESUMO!A48)</f>
        <v>67</v>
      </c>
      <c r="I48">
        <f t="shared" ca="1" si="5"/>
        <v>70</v>
      </c>
      <c r="J48">
        <f t="shared" ca="1" si="6"/>
        <v>77</v>
      </c>
      <c r="K48">
        <f t="shared" ca="1" si="7"/>
        <v>4</v>
      </c>
      <c r="L48">
        <f ca="1">COUNTIF($F$1:F48,F48)</f>
        <v>3</v>
      </c>
      <c r="M48" cm="1">
        <f t="array" aca="1" ref="M48" ca="1">IF(Tabela2[[#This Row],[TIPO]]&lt;&gt;"BASE - POSTO FLU",_xlfn.XLOOKUP(Tabela2[[#This Row],[SUBBACIA]],INDIRECT("'"&amp;Tabela2[[#This Row],[MODELO]]&amp;"'!B1:B5000"),INDIRECT("'"&amp;Tabela2[[#This Row],[MODELO]]&amp;"'!A1:A5000")),"")</f>
        <v>52</v>
      </c>
      <c r="N48" t="str" cm="1">
        <f t="array" aca="1" ref="N4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8" t="str" cm="1">
        <f t="array" aca="1" ref="O4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PSATCNI</v>
      </c>
    </row>
    <row r="49" spans="1:15" x14ac:dyDescent="0.25">
      <c r="A49">
        <f t="shared" ca="1" si="8"/>
        <v>4</v>
      </c>
      <c r="B49" t="s">
        <v>257</v>
      </c>
      <c r="C49" t="s">
        <v>258</v>
      </c>
      <c r="D49" t="s">
        <v>259</v>
      </c>
      <c r="E49" t="str" cm="1">
        <f t="array" aca="1" ref="E49" ca="1">IF(K49=0,F49,TRIM(OFFSET(INDIRECT("'"&amp;B49&amp;"'!A1"),I49+L49,1)))</f>
        <v>Ourinhos</v>
      </c>
      <c r="F49" t="str" cm="1">
        <f t="array" aca="1" ref="F49" ca="1">TRIM(SUBSTITUTE(INDEX(INDIRECT("'"&amp;B49&amp;"'!A1:A1000"),H49),"Sub-bacia modelada:",""))</f>
        <v>Canoas I</v>
      </c>
      <c r="G49" t="str">
        <f t="shared" ca="1" si="4"/>
        <v>NÃO BASE</v>
      </c>
      <c r="H49" cm="1">
        <f t="array" aca="1" ref="H49" ca="1">SMALL(ROW(INDIRECT("'"&amp;B49&amp;"'!A1:A1000"))*IF(ISNUMBER(FIND("Sub-bacia modelada:",INDIRECT("'"&amp;B49&amp;"'!A1:A1000"))),1,9999),RESUMO!A49)</f>
        <v>67</v>
      </c>
      <c r="I49">
        <f t="shared" ca="1" si="5"/>
        <v>70</v>
      </c>
      <c r="J49">
        <f t="shared" ca="1" si="6"/>
        <v>77</v>
      </c>
      <c r="K49">
        <f t="shared" ca="1" si="7"/>
        <v>4</v>
      </c>
      <c r="L49">
        <f ca="1">COUNTIF($F$1:F49,F49)</f>
        <v>4</v>
      </c>
      <c r="M49" cm="1">
        <f t="array" aca="1" ref="M49" ca="1">IF(Tabela2[[#This Row],[TIPO]]&lt;&gt;"BASE - POSTO FLU",_xlfn.XLOOKUP(Tabela2[[#This Row],[SUBBACIA]],INDIRECT("'"&amp;Tabela2[[#This Row],[MODELO]]&amp;"'!B1:B5000"),INDIRECT("'"&amp;Tabela2[[#This Row],[MODELO]]&amp;"'!A1:A5000")),"")</f>
        <v>249</v>
      </c>
      <c r="N49" t="str" cm="1">
        <f t="array" aca="1" ref="N4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49" t="str" cm="1">
        <f t="array" aca="1" ref="O4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50" spans="1:15" x14ac:dyDescent="0.25">
      <c r="A50">
        <f t="shared" ca="1" si="8"/>
        <v>5</v>
      </c>
      <c r="B50" t="s">
        <v>257</v>
      </c>
      <c r="C50" t="s">
        <v>258</v>
      </c>
      <c r="D50" t="s">
        <v>259</v>
      </c>
      <c r="E50" t="str" cm="1">
        <f t="array" aca="1" ref="E50" ca="1">IF(K50=0,F50,TRIM(OFFSET(INDIRECT("'"&amp;B50&amp;"'!A1"),I50+L50,1)))</f>
        <v>Capivara</v>
      </c>
      <c r="F50" t="str" cm="1">
        <f t="array" aca="1" ref="F50" ca="1">TRIM(SUBSTITUTE(INDEX(INDIRECT("'"&amp;B50&amp;"'!A1:A1000"),H50),"Sub-bacia modelada:",""))</f>
        <v>Capivara</v>
      </c>
      <c r="G50" t="str">
        <f t="shared" ca="1" si="4"/>
        <v>BASE - RESERVATÓRIO</v>
      </c>
      <c r="H50" cm="1">
        <f t="array" aca="1" ref="H50" ca="1">SMALL(ROW(INDIRECT("'"&amp;B50&amp;"'!A1:A1000"))*IF(ISNUMBER(FIND("Sub-bacia modelada:",INDIRECT("'"&amp;B50&amp;"'!A1:A1000"))),1,9999),RESUMO!A50)</f>
        <v>91</v>
      </c>
      <c r="I50">
        <f t="shared" ca="1" si="5"/>
        <v>94</v>
      </c>
      <c r="J50">
        <f t="shared" ca="1" si="6"/>
        <v>98</v>
      </c>
      <c r="K50">
        <f t="shared" ca="1" si="7"/>
        <v>1</v>
      </c>
      <c r="L50">
        <f ca="1">COUNTIF($F$1:F50,F50)</f>
        <v>1</v>
      </c>
      <c r="M50" cm="1">
        <f t="array" aca="1" ref="M50" ca="1">IF(Tabela2[[#This Row],[TIPO]]&lt;&gt;"BASE - POSTO FLU",_xlfn.XLOOKUP(Tabela2[[#This Row],[SUBBACIA]],INDIRECT("'"&amp;Tabela2[[#This Row],[MODELO]]&amp;"'!B1:B5000"),INDIRECT("'"&amp;Tabela2[[#This Row],[MODELO]]&amp;"'!A1:A5000")),"")</f>
        <v>61</v>
      </c>
      <c r="N50" t="str" cm="1">
        <f t="array" aca="1" ref="N5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50" t="str" cm="1">
        <f t="array" aca="1" ref="O5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PSATCPV</v>
      </c>
    </row>
    <row r="51" spans="1:15" x14ac:dyDescent="0.25">
      <c r="A51">
        <f t="shared" ca="1" si="8"/>
        <v>6</v>
      </c>
      <c r="B51" t="s">
        <v>257</v>
      </c>
      <c r="C51" t="s">
        <v>258</v>
      </c>
      <c r="D51" t="s">
        <v>259</v>
      </c>
      <c r="E51" t="str" cm="1">
        <f t="array" aca="1" ref="E51" ca="1">IF(K51=0,F51,TRIM(OFFSET(INDIRECT("'"&amp;B51&amp;"'!A1"),I51+L51,1)))</f>
        <v>Taquaruçu</v>
      </c>
      <c r="F51" t="str" cm="1">
        <f t="array" aca="1" ref="F51" ca="1">TRIM(SUBSTITUTE(INDEX(INDIRECT("'"&amp;B51&amp;"'!A1:A1000"),H51),"Sub-bacia modelada:",""))</f>
        <v>Rosana</v>
      </c>
      <c r="G51" t="str">
        <f t="shared" ca="1" si="4"/>
        <v>NÃO BASE</v>
      </c>
      <c r="H51" cm="1">
        <f t="array" aca="1" ref="H51" ca="1">SMALL(ROW(INDIRECT("'"&amp;B51&amp;"'!A1:A1000"))*IF(ISNUMBER(FIND("Sub-bacia modelada:",INDIRECT("'"&amp;B51&amp;"'!A1:A1000"))),1,9999),RESUMO!A51)</f>
        <v>112</v>
      </c>
      <c r="I51">
        <f t="shared" ca="1" si="5"/>
        <v>115</v>
      </c>
      <c r="J51">
        <f t="shared" ca="1" si="6"/>
        <v>120</v>
      </c>
      <c r="K51">
        <f t="shared" ca="1" si="7"/>
        <v>2</v>
      </c>
      <c r="L51">
        <f ca="1">COUNTIF($F$1:F51,F51)</f>
        <v>1</v>
      </c>
      <c r="M51" cm="1">
        <f t="array" aca="1" ref="M51" ca="1">IF(Tabela2[[#This Row],[TIPO]]&lt;&gt;"BASE - POSTO FLU",_xlfn.XLOOKUP(Tabela2[[#This Row],[SUBBACIA]],INDIRECT("'"&amp;Tabela2[[#This Row],[MODELO]]&amp;"'!B1:B5000"),INDIRECT("'"&amp;Tabela2[[#This Row],[MODELO]]&amp;"'!A1:A5000")),"")</f>
        <v>62</v>
      </c>
      <c r="N51" t="str" cm="1">
        <f t="array" aca="1" ref="N5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51" t="str" cm="1">
        <f t="array" aca="1" ref="O5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52" spans="1:15" x14ac:dyDescent="0.25">
      <c r="A52">
        <f t="shared" ca="1" si="8"/>
        <v>6</v>
      </c>
      <c r="B52" t="s">
        <v>257</v>
      </c>
      <c r="C52" t="s">
        <v>258</v>
      </c>
      <c r="D52" t="s">
        <v>260</v>
      </c>
      <c r="E52" t="str" cm="1">
        <f t="array" aca="1" ref="E52" ca="1">IF(K52=0,F52,TRIM(OFFSET(INDIRECT("'"&amp;B52&amp;"'!A1"),I52+L52,1)))</f>
        <v>Rosana</v>
      </c>
      <c r="F52" t="str" cm="1">
        <f t="array" aca="1" ref="F52" ca="1">TRIM(SUBSTITUTE(INDEX(INDIRECT("'"&amp;B52&amp;"'!A1:A1000"),H52),"Sub-bacia modelada:",""))</f>
        <v>Rosana</v>
      </c>
      <c r="G52" t="str">
        <f t="shared" ca="1" si="4"/>
        <v>BASE - RESERVATÓRIO</v>
      </c>
      <c r="H52" cm="1">
        <f t="array" aca="1" ref="H52" ca="1">SMALL(ROW(INDIRECT("'"&amp;B52&amp;"'!A1:A1000"))*IF(ISNUMBER(FIND("Sub-bacia modelada:",INDIRECT("'"&amp;B52&amp;"'!A1:A1000"))),1,9999),RESUMO!A52)</f>
        <v>112</v>
      </c>
      <c r="I52">
        <f t="shared" ca="1" si="5"/>
        <v>115</v>
      </c>
      <c r="J52">
        <f t="shared" ca="1" si="6"/>
        <v>120</v>
      </c>
      <c r="K52">
        <f t="shared" ca="1" si="7"/>
        <v>2</v>
      </c>
      <c r="L52">
        <f ca="1">COUNTIF($F$1:F52,F52)</f>
        <v>2</v>
      </c>
      <c r="M52" cm="1">
        <f t="array" aca="1" ref="M52" ca="1">IF(Tabela2[[#This Row],[TIPO]]&lt;&gt;"BASE - POSTO FLU",_xlfn.XLOOKUP(Tabela2[[#This Row],[SUBBACIA]],INDIRECT("'"&amp;Tabela2[[#This Row],[MODELO]]&amp;"'!B1:B5000"),INDIRECT("'"&amp;Tabela2[[#This Row],[MODELO]]&amp;"'!A1:A5000")),"")</f>
        <v>63</v>
      </c>
      <c r="N52" t="str" cm="1">
        <f t="array" aca="1" ref="N5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52" t="str" cm="1">
        <f t="array" aca="1" ref="O5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PSATROS</v>
      </c>
    </row>
    <row r="53" spans="1:15" x14ac:dyDescent="0.25">
      <c r="A53">
        <f t="shared" ca="1" si="8"/>
        <v>7</v>
      </c>
      <c r="B53" t="s">
        <v>257</v>
      </c>
      <c r="C53" t="s">
        <v>258</v>
      </c>
      <c r="D53" t="s">
        <v>260</v>
      </c>
      <c r="E53" t="str" cm="1">
        <f t="array" aca="1" ref="E53" ca="1">IF(K53=0,F53,TRIM(OFFSET(INDIRECT("'"&amp;B53&amp;"'!A1"),I53+L53,1)))</f>
        <v>I. Solteira</v>
      </c>
      <c r="F53" t="str" cm="1">
        <f t="array" aca="1" ref="F53" ca="1">TRIM(SUBSTITUTE(INDEX(INDIRECT("'"&amp;B53&amp;"'!A1:A1000"),H53),"Sub-bacia modelada:",""))</f>
        <v>Ilha Solteira Equivalente</v>
      </c>
      <c r="G53" t="s">
        <v>256</v>
      </c>
      <c r="H53" cm="1">
        <f t="array" aca="1" ref="H53" ca="1">SMALL(ROW(INDIRECT("'"&amp;B53&amp;"'!A1:A1000"))*IF(ISNUMBER(FIND("Sub-bacia modelada:",INDIRECT("'"&amp;B53&amp;"'!A1:A1000"))),1,9999),RESUMO!A53)</f>
        <v>134</v>
      </c>
      <c r="I53">
        <f t="shared" ca="1" si="5"/>
        <v>137</v>
      </c>
      <c r="J53">
        <f t="shared" ca="1" si="6"/>
        <v>143</v>
      </c>
      <c r="K53">
        <f t="shared" ca="1" si="7"/>
        <v>3</v>
      </c>
      <c r="L53">
        <f ca="1">COUNTIF($F$1:F53,F53)</f>
        <v>1</v>
      </c>
      <c r="M53" cm="1">
        <f t="array" aca="1" ref="M53" ca="1">IF(Tabela2[[#This Row],[TIPO]]&lt;&gt;"BASE - POSTO FLU",_xlfn.XLOOKUP(Tabela2[[#This Row],[SUBBACIA]],INDIRECT("'"&amp;Tabela2[[#This Row],[MODELO]]&amp;"'!B1:B5000"),INDIRECT("'"&amp;Tabela2[[#This Row],[MODELO]]&amp;"'!A1:A5000")),"")</f>
        <v>34</v>
      </c>
      <c r="N53" t="str" cm="1">
        <f t="array" aca="1" ref="N5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53" t="str" cm="1">
        <f t="array" aca="1" ref="O5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PSATISOT</v>
      </c>
    </row>
    <row r="54" spans="1:15" x14ac:dyDescent="0.25">
      <c r="A54">
        <f t="shared" ca="1" si="8"/>
        <v>7</v>
      </c>
      <c r="B54" t="s">
        <v>257</v>
      </c>
      <c r="C54" t="s">
        <v>258</v>
      </c>
      <c r="D54" t="s">
        <v>260</v>
      </c>
      <c r="E54" t="str" cm="1">
        <f t="array" aca="1" ref="E54" ca="1">IF(K54=0,F54,TRIM(OFFSET(INDIRECT("'"&amp;B54&amp;"'!A1"),I54+L54,1)))</f>
        <v>Ilha + T. Irmãos</v>
      </c>
      <c r="F54" t="str" cm="1">
        <f t="array" aca="1" ref="F54" ca="1">TRIM(SUBSTITUTE(INDEX(INDIRECT("'"&amp;B54&amp;"'!A1:A1000"),H54),"Sub-bacia modelada:",""))</f>
        <v>Ilha Solteira Equivalente</v>
      </c>
      <c r="G54" t="str">
        <f t="shared" ca="1" si="4"/>
        <v>NÃO BASE</v>
      </c>
      <c r="H54" cm="1">
        <f t="array" aca="1" ref="H54" ca="1">SMALL(ROW(INDIRECT("'"&amp;B54&amp;"'!A1:A1000"))*IF(ISNUMBER(FIND("Sub-bacia modelada:",INDIRECT("'"&amp;B54&amp;"'!A1:A1000"))),1,9999),RESUMO!A54)</f>
        <v>134</v>
      </c>
      <c r="I54">
        <f t="shared" ca="1" si="5"/>
        <v>137</v>
      </c>
      <c r="J54">
        <f t="shared" ca="1" si="6"/>
        <v>143</v>
      </c>
      <c r="K54">
        <f t="shared" ca="1" si="7"/>
        <v>3</v>
      </c>
      <c r="L54">
        <f ca="1">COUNTIF($F$1:F54,F54)</f>
        <v>2</v>
      </c>
      <c r="M54" cm="1">
        <f t="array" aca="1" ref="M54" ca="1">IF(Tabela2[[#This Row],[TIPO]]&lt;&gt;"BASE - POSTO FLU",_xlfn.XLOOKUP(Tabela2[[#This Row],[SUBBACIA]],INDIRECT("'"&amp;Tabela2[[#This Row],[MODELO]]&amp;"'!B1:B5000"),INDIRECT("'"&amp;Tabela2[[#This Row],[MODELO]]&amp;"'!A1:A5000")),"")</f>
        <v>244</v>
      </c>
      <c r="N54" t="str" cm="1">
        <f t="array" aca="1" ref="N5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54" t="str" cm="1">
        <f t="array" aca="1" ref="O5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55" spans="1:15" x14ac:dyDescent="0.25">
      <c r="A55">
        <f t="shared" ca="1" si="8"/>
        <v>7</v>
      </c>
      <c r="B55" t="s">
        <v>257</v>
      </c>
      <c r="C55" t="s">
        <v>258</v>
      </c>
      <c r="D55" t="s">
        <v>260</v>
      </c>
      <c r="E55" t="str" cm="1">
        <f t="array" aca="1" ref="E55" ca="1">IF(K55=0,F55,TRIM(OFFSET(INDIRECT("'"&amp;B55&amp;"'!A1"),I55+L55,1)))</f>
        <v>Três Irmãos</v>
      </c>
      <c r="F55" t="str" cm="1">
        <f t="array" aca="1" ref="F55" ca="1">TRIM(SUBSTITUTE(INDEX(INDIRECT("'"&amp;B55&amp;"'!A1:A1000"),H55),"Sub-bacia modelada:",""))</f>
        <v>Ilha Solteira Equivalente</v>
      </c>
      <c r="G55" t="str">
        <f t="shared" ca="1" si="4"/>
        <v>NÃO BASE</v>
      </c>
      <c r="H55" cm="1">
        <f t="array" aca="1" ref="H55" ca="1">SMALL(ROW(INDIRECT("'"&amp;B55&amp;"'!A1:A1000"))*IF(ISNUMBER(FIND("Sub-bacia modelada:",INDIRECT("'"&amp;B55&amp;"'!A1:A1000"))),1,9999),RESUMO!A55)</f>
        <v>134</v>
      </c>
      <c r="I55">
        <f t="shared" ca="1" si="5"/>
        <v>137</v>
      </c>
      <c r="J55">
        <f t="shared" ca="1" si="6"/>
        <v>143</v>
      </c>
      <c r="K55">
        <f t="shared" ca="1" si="7"/>
        <v>3</v>
      </c>
      <c r="L55">
        <f ca="1">COUNTIF($F$1:F55,F55)</f>
        <v>3</v>
      </c>
      <c r="M55" cm="1">
        <f t="array" aca="1" ref="M55" ca="1">IF(Tabela2[[#This Row],[TIPO]]&lt;&gt;"BASE - POSTO FLU",_xlfn.XLOOKUP(Tabela2[[#This Row],[SUBBACIA]],INDIRECT("'"&amp;Tabela2[[#This Row],[MODELO]]&amp;"'!B1:B5000"),INDIRECT("'"&amp;Tabela2[[#This Row],[MODELO]]&amp;"'!A1:A5000")),"")</f>
        <v>243</v>
      </c>
      <c r="N55" t="str" cm="1">
        <f t="array" aca="1" ref="N5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55" t="str" cm="1">
        <f t="array" aca="1" ref="O5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56" spans="1:15" x14ac:dyDescent="0.25">
      <c r="A56">
        <f t="shared" ca="1" si="8"/>
        <v>8</v>
      </c>
      <c r="B56" t="s">
        <v>257</v>
      </c>
      <c r="C56" t="s">
        <v>258</v>
      </c>
      <c r="D56" t="s">
        <v>260</v>
      </c>
      <c r="E56" t="str" cm="1">
        <f t="array" aca="1" ref="E56" ca="1">IF(K56=0,F56,TRIM(OFFSET(INDIRECT("'"&amp;B56&amp;"'!A1"),I56+L56,1)))</f>
        <v>Jupiá</v>
      </c>
      <c r="F56" t="str" cm="1">
        <f t="array" aca="1" ref="F56" ca="1">TRIM(SUBSTITUTE(INDEX(INDIRECT("'"&amp;B56&amp;"'!A1:A1000"),H56),"Sub-bacia modelada:",""))</f>
        <v>Jupiá</v>
      </c>
      <c r="G56" t="str">
        <f t="shared" ca="1" si="4"/>
        <v>BASE - RESERVATÓRIO</v>
      </c>
      <c r="H56" cm="1">
        <f t="array" aca="1" ref="H56" ca="1">SMALL(ROW(INDIRECT("'"&amp;B56&amp;"'!A1:A1000"))*IF(ISNUMBER(FIND("Sub-bacia modelada:",INDIRECT("'"&amp;B56&amp;"'!A1:A1000"))),1,9999),RESUMO!A56)</f>
        <v>157</v>
      </c>
      <c r="I56">
        <f t="shared" ca="1" si="5"/>
        <v>160</v>
      </c>
      <c r="J56">
        <f t="shared" ca="1" si="6"/>
        <v>164</v>
      </c>
      <c r="K56">
        <f t="shared" ca="1" si="7"/>
        <v>1</v>
      </c>
      <c r="L56">
        <f ca="1">COUNTIF($F$1:F56,F56)</f>
        <v>1</v>
      </c>
      <c r="M56" cm="1">
        <f t="array" aca="1" ref="M56" ca="1">IF(Tabela2[[#This Row],[TIPO]]&lt;&gt;"BASE - POSTO FLU",_xlfn.XLOOKUP(Tabela2[[#This Row],[SUBBACIA]],INDIRECT("'"&amp;Tabela2[[#This Row],[MODELO]]&amp;"'!B1:B5000"),INDIRECT("'"&amp;Tabela2[[#This Row],[MODELO]]&amp;"'!A1:A5000")),"")</f>
        <v>245</v>
      </c>
      <c r="N56" t="str" cm="1">
        <f t="array" aca="1" ref="N5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56" t="str" cm="1">
        <f t="array" aca="1" ref="O5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PSATJUP</v>
      </c>
    </row>
    <row r="57" spans="1:15" x14ac:dyDescent="0.25">
      <c r="A57">
        <f t="shared" ca="1" si="8"/>
        <v>9</v>
      </c>
      <c r="B57" t="s">
        <v>257</v>
      </c>
      <c r="C57" t="s">
        <v>258</v>
      </c>
      <c r="D57" t="s">
        <v>260</v>
      </c>
      <c r="E57" t="str" cm="1">
        <f t="array" aca="1" ref="E57" ca="1">IF(K57=0,F57,TRIM(OFFSET(INDIRECT("'"&amp;B57&amp;"'!A1"),I57+L57,1)))</f>
        <v>São Domingos</v>
      </c>
      <c r="F57" t="str" cm="1">
        <f t="array" aca="1" ref="F57" ca="1">TRIM(SUBSTITUTE(INDEX(INDIRECT("'"&amp;B57&amp;"'!A1:A1000"),H57),"Sub-bacia modelada:",""))</f>
        <v>São Domingos</v>
      </c>
      <c r="G57" t="str">
        <f t="shared" ca="1" si="4"/>
        <v>BASE - RESERVATÓRIO</v>
      </c>
      <c r="H57" cm="1">
        <f t="array" aca="1" ref="H57" ca="1">SMALL(ROW(INDIRECT("'"&amp;B57&amp;"'!A1:A1000"))*IF(ISNUMBER(FIND("Sub-bacia modelada:",INDIRECT("'"&amp;B57&amp;"'!A1:A1000"))),1,9999),RESUMO!A57)</f>
        <v>178</v>
      </c>
      <c r="I57">
        <f t="shared" ca="1" si="5"/>
        <v>181</v>
      </c>
      <c r="J57">
        <f t="shared" ca="1" si="6"/>
        <v>185</v>
      </c>
      <c r="K57">
        <f t="shared" ca="1" si="7"/>
        <v>1</v>
      </c>
      <c r="L57">
        <f ca="1">COUNTIF($F$1:F57,F57)</f>
        <v>1</v>
      </c>
      <c r="M57" cm="1">
        <f t="array" aca="1" ref="M57" ca="1">IF(Tabela2[[#This Row],[TIPO]]&lt;&gt;"BASE - POSTO FLU",_xlfn.XLOOKUP(Tabela2[[#This Row],[SUBBACIA]],INDIRECT("'"&amp;Tabela2[[#This Row],[MODELO]]&amp;"'!B1:B5000"),INDIRECT("'"&amp;Tabela2[[#This Row],[MODELO]]&amp;"'!A1:A5000")),"")</f>
        <v>154</v>
      </c>
      <c r="N57" t="str" cm="1">
        <f t="array" aca="1" ref="N5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57" t="str" cm="1">
        <f t="array" aca="1" ref="O5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PSATSDG</v>
      </c>
    </row>
    <row r="58" spans="1:15" x14ac:dyDescent="0.25">
      <c r="A58">
        <f t="shared" ca="1" si="8"/>
        <v>10</v>
      </c>
      <c r="B58" t="s">
        <v>257</v>
      </c>
      <c r="C58" t="s">
        <v>258</v>
      </c>
      <c r="D58" t="s">
        <v>260</v>
      </c>
      <c r="E58" t="str" cm="1">
        <f t="array" aca="1" ref="E58" ca="1">IF(K58=0,F58,TRIM(OFFSET(INDIRECT("'"&amp;B58&amp;"'!A1"),I58+L58,1)))</f>
        <v>Fazenda Buriti</v>
      </c>
      <c r="F58" t="str" cm="1">
        <f t="array" aca="1" ref="F58" ca="1">TRIM(SUBSTITUTE(INDEX(INDIRECT("'"&amp;B58&amp;"'!A1:A1000"),H58),"Sub-bacia modelada:",""))</f>
        <v>Fazenda Buriti</v>
      </c>
      <c r="G58" t="str">
        <f t="shared" ca="1" si="4"/>
        <v>BASE - POSTO FLU</v>
      </c>
      <c r="H58" cm="1">
        <f t="array" aca="1" ref="H58" ca="1">SMALL(ROW(INDIRECT("'"&amp;B58&amp;"'!A1:A1000"))*IF(ISNUMBER(FIND("Sub-bacia modelada:",INDIRECT("'"&amp;B58&amp;"'!A1:A1000"))),1,9999),RESUMO!A58)</f>
        <v>199</v>
      </c>
      <c r="I58">
        <f t="shared" ca="1" si="5"/>
        <v>202</v>
      </c>
      <c r="J58">
        <f t="shared" ca="1" si="6"/>
        <v>206</v>
      </c>
      <c r="K58">
        <f t="shared" ca="1" si="7"/>
        <v>0</v>
      </c>
      <c r="L58">
        <f ca="1">COUNTIF($F$1:F58,F58)</f>
        <v>1</v>
      </c>
      <c r="M58" t="str" cm="1">
        <f t="array" aca="1" ref="M58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58" cm="1">
        <f t="array" aca="1" ref="N5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63968000</v>
      </c>
      <c r="O58" t="str" cm="1">
        <f t="array" aca="1" ref="O5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PSATFZBT</v>
      </c>
    </row>
    <row r="59" spans="1:15" x14ac:dyDescent="0.25">
      <c r="A59">
        <f t="shared" ca="1" si="8"/>
        <v>11</v>
      </c>
      <c r="B59" t="s">
        <v>257</v>
      </c>
      <c r="C59" t="s">
        <v>258</v>
      </c>
      <c r="D59" t="s">
        <v>260</v>
      </c>
      <c r="E59" t="str" cm="1">
        <f t="array" aca="1" ref="E59" ca="1">IF(K59=0,F59,TRIM(OFFSET(INDIRECT("'"&amp;B59&amp;"'!A1"),I59+L59,1)))</f>
        <v>Porto Primavera</v>
      </c>
      <c r="F59" t="str" cm="1">
        <f t="array" aca="1" ref="F59" ca="1">TRIM(SUBSTITUTE(INDEX(INDIRECT("'"&amp;B59&amp;"'!A1:A1000"),H59),"Sub-bacia modelada:",""))</f>
        <v>Porto Primavera</v>
      </c>
      <c r="G59" t="str">
        <f t="shared" ca="1" si="4"/>
        <v>BASE - RESERVATÓRIO</v>
      </c>
      <c r="H59" cm="1">
        <f t="array" aca="1" ref="H59" ca="1">SMALL(ROW(INDIRECT("'"&amp;B59&amp;"'!A1:A1000"))*IF(ISNUMBER(FIND("Sub-bacia modelada:",INDIRECT("'"&amp;B59&amp;"'!A1:A1000"))),1,9999),RESUMO!A59)</f>
        <v>220</v>
      </c>
      <c r="I59">
        <f t="shared" ca="1" si="5"/>
        <v>223</v>
      </c>
      <c r="J59">
        <f t="shared" ca="1" si="6"/>
        <v>227</v>
      </c>
      <c r="K59">
        <f t="shared" ca="1" si="7"/>
        <v>1</v>
      </c>
      <c r="L59">
        <f ca="1">COUNTIF($F$1:F59,F59)</f>
        <v>1</v>
      </c>
      <c r="M59" cm="1">
        <f t="array" aca="1" ref="M59" ca="1">IF(Tabela2[[#This Row],[TIPO]]&lt;&gt;"BASE - POSTO FLU",_xlfn.XLOOKUP(Tabela2[[#This Row],[SUBBACIA]],INDIRECT("'"&amp;Tabela2[[#This Row],[MODELO]]&amp;"'!B1:B5000"),INDIRECT("'"&amp;Tabela2[[#This Row],[MODELO]]&amp;"'!A1:A5000")),"")</f>
        <v>246</v>
      </c>
      <c r="N59" t="str" cm="1">
        <f t="array" aca="1" ref="N5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59" t="str" cm="1">
        <f t="array" aca="1" ref="O5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PSATPPRA</v>
      </c>
    </row>
    <row r="60" spans="1:15" x14ac:dyDescent="0.25">
      <c r="A60">
        <f t="shared" ca="1" si="8"/>
        <v>12</v>
      </c>
      <c r="B60" t="s">
        <v>257</v>
      </c>
      <c r="C60" t="s">
        <v>258</v>
      </c>
      <c r="D60" t="s">
        <v>260</v>
      </c>
      <c r="E60" t="str" cm="1">
        <f t="array" aca="1" ref="E60" ca="1">IF(K60=0,F60,TRIM(OFFSET(INDIRECT("'"&amp;B60&amp;"'!A1"),I60+L60,1)))</f>
        <v>Balsa Santa Maria</v>
      </c>
      <c r="F60" t="str" cm="1">
        <f t="array" aca="1" ref="F60" ca="1">TRIM(SUBSTITUTE(INDEX(INDIRECT("'"&amp;B60&amp;"'!A1:A1000"),H60),"Sub-bacia modelada:",""))</f>
        <v>Balsa Santa Maria</v>
      </c>
      <c r="G60" t="str">
        <f t="shared" ca="1" si="4"/>
        <v>BASE - POSTO FLU</v>
      </c>
      <c r="H60" cm="1">
        <f t="array" aca="1" ref="H60" ca="1">SMALL(ROW(INDIRECT("'"&amp;B60&amp;"'!A1:A1000"))*IF(ISNUMBER(FIND("Sub-bacia modelada:",INDIRECT("'"&amp;B60&amp;"'!A1:A1000"))),1,9999),RESUMO!A60)</f>
        <v>241</v>
      </c>
      <c r="I60">
        <f t="shared" ca="1" si="5"/>
        <v>244</v>
      </c>
      <c r="J60">
        <f t="shared" ca="1" si="6"/>
        <v>248</v>
      </c>
      <c r="K60">
        <f t="shared" ca="1" si="7"/>
        <v>0</v>
      </c>
      <c r="L60">
        <f ca="1">COUNTIF($F$1:F60,F60)</f>
        <v>1</v>
      </c>
      <c r="M60" t="str" cm="1">
        <f t="array" aca="1" ref="M60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60" cm="1">
        <f t="array" aca="1" ref="N6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64831000</v>
      </c>
      <c r="O60" t="str" cm="1">
        <f t="array" aca="1" ref="O6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PSATBSM</v>
      </c>
    </row>
    <row r="61" spans="1:15" x14ac:dyDescent="0.25">
      <c r="A61">
        <f t="shared" ca="1" si="8"/>
        <v>13</v>
      </c>
      <c r="B61" t="s">
        <v>257</v>
      </c>
      <c r="C61" t="s">
        <v>258</v>
      </c>
      <c r="D61" t="s">
        <v>260</v>
      </c>
      <c r="E61" t="str" cm="1">
        <f t="array" aca="1" ref="E61" ca="1">IF(K61=0,F61,TRIM(OFFSET(INDIRECT("'"&amp;B61&amp;"'!A1"),I61+L61,1)))</f>
        <v>Florida Estrada</v>
      </c>
      <c r="F61" t="str" cm="1">
        <f t="array" aca="1" ref="F61" ca="1">TRIM(SUBSTITUTE(INDEX(INDIRECT("'"&amp;B61&amp;"'!A1:A1000"),H61),"Sub-bacia modelada:",""))</f>
        <v>Florida Estrada</v>
      </c>
      <c r="G61" t="str">
        <f t="shared" ca="1" si="4"/>
        <v>BASE - POSTO FLU</v>
      </c>
      <c r="H61" cm="1">
        <f t="array" aca="1" ref="H61" ca="1">SMALL(ROW(INDIRECT("'"&amp;B61&amp;"'!A1:A1000"))*IF(ISNUMBER(FIND("Sub-bacia modelada:",INDIRECT("'"&amp;B61&amp;"'!A1:A1000"))),1,9999),RESUMO!A61)</f>
        <v>262</v>
      </c>
      <c r="I61">
        <f t="shared" ca="1" si="5"/>
        <v>265</v>
      </c>
      <c r="J61">
        <f t="shared" ca="1" si="6"/>
        <v>269</v>
      </c>
      <c r="K61">
        <f t="shared" ca="1" si="7"/>
        <v>0</v>
      </c>
      <c r="L61">
        <f ca="1">COUNTIF($F$1:F61,F61)</f>
        <v>1</v>
      </c>
      <c r="M61" t="str" cm="1">
        <f t="array" aca="1" ref="M61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61" cm="1">
        <f t="array" aca="1" ref="N6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64999999</v>
      </c>
      <c r="O61" t="str" cm="1">
        <f t="array" aca="1" ref="O6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PSATFLE</v>
      </c>
    </row>
    <row r="62" spans="1:15" x14ac:dyDescent="0.25">
      <c r="A62">
        <f t="shared" ca="1" si="8"/>
        <v>14</v>
      </c>
      <c r="B62" t="s">
        <v>257</v>
      </c>
      <c r="C62" t="s">
        <v>258</v>
      </c>
      <c r="D62" t="s">
        <v>260</v>
      </c>
      <c r="E62" t="str" cm="1">
        <f t="array" aca="1" ref="E62" ca="1">IF(K62=0,F62,TRIM(OFFSET(INDIRECT("'"&amp;B62&amp;"'!A1"),I62+L62,1)))</f>
        <v>Itaipu</v>
      </c>
      <c r="F62" t="str" cm="1">
        <f t="array" aca="1" ref="F62" ca="1">TRIM(SUBSTITUTE(INDEX(INDIRECT("'"&amp;B62&amp;"'!A1:A1000"),H62),"Sub-bacia modelada:",""))</f>
        <v>Itaipu</v>
      </c>
      <c r="G62" t="str">
        <f t="shared" ca="1" si="4"/>
        <v>BASE - RESERVATÓRIO</v>
      </c>
      <c r="H62" cm="1">
        <f t="array" aca="1" ref="H62" ca="1">SMALL(ROW(INDIRECT("'"&amp;B62&amp;"'!A1:A1000"))*IF(ISNUMBER(FIND("Sub-bacia modelada:",INDIRECT("'"&amp;B62&amp;"'!A1:A1000"))),1,9999),RESUMO!A62)</f>
        <v>283</v>
      </c>
      <c r="I62">
        <f t="shared" ca="1" si="5"/>
        <v>286</v>
      </c>
      <c r="J62">
        <f t="shared" ca="1" si="6"/>
        <v>290</v>
      </c>
      <c r="K62">
        <f t="shared" ca="1" si="7"/>
        <v>1</v>
      </c>
      <c r="L62">
        <f ca="1">COUNTIF($F$1:F62,F62)</f>
        <v>1</v>
      </c>
      <c r="M62" cm="1">
        <f t="array" aca="1" ref="M62" ca="1">IF(Tabela2[[#This Row],[TIPO]]&lt;&gt;"BASE - POSTO FLU",_xlfn.XLOOKUP(Tabela2[[#This Row],[SUBBACIA]],INDIRECT("'"&amp;Tabela2[[#This Row],[MODELO]]&amp;"'!B1:B5000"),INDIRECT("'"&amp;Tabela2[[#This Row],[MODELO]]&amp;"'!A1:A5000")),"")</f>
        <v>266</v>
      </c>
      <c r="N62" t="str" cm="1">
        <f t="array" aca="1" ref="N6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62" t="str" cm="1">
        <f t="array" aca="1" ref="O6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PSATITP</v>
      </c>
    </row>
    <row r="63" spans="1:15" x14ac:dyDescent="0.25">
      <c r="A63">
        <f t="shared" ca="1" si="8"/>
        <v>15</v>
      </c>
      <c r="B63" t="s">
        <v>257</v>
      </c>
      <c r="C63" t="s">
        <v>258</v>
      </c>
      <c r="D63" t="s">
        <v>260</v>
      </c>
      <c r="E63" t="str" cm="1">
        <f t="array" aca="1" ref="E63" ca="1">IF(K63=0,F63,TRIM(OFFSET(INDIRECT("'"&amp;B63&amp;"'!A1"),I63+L63,1)))</f>
        <v>Ivinhema</v>
      </c>
      <c r="F63" t="str" cm="1">
        <f t="array" aca="1" ref="F63" ca="1">TRIM(SUBSTITUTE(INDEX(INDIRECT("'"&amp;B63&amp;"'!A1:A1000"),H63),"Sub-bacia modelada:",""))</f>
        <v>Ivinhema</v>
      </c>
      <c r="G63" t="str">
        <f t="shared" ca="1" si="4"/>
        <v>BASE - POSTO FLU</v>
      </c>
      <c r="H63" cm="1">
        <f t="array" aca="1" ref="H63" ca="1">SMALL(ROW(INDIRECT("'"&amp;B63&amp;"'!A1:A1000"))*IF(ISNUMBER(FIND("Sub-bacia modelada:",INDIRECT("'"&amp;B63&amp;"'!A1:A1000"))),1,9999),RESUMO!A63)</f>
        <v>307</v>
      </c>
      <c r="I63">
        <f t="shared" ca="1" si="5"/>
        <v>310</v>
      </c>
      <c r="J63">
        <f t="shared" ca="1" si="6"/>
        <v>314</v>
      </c>
      <c r="K63">
        <f t="shared" ca="1" si="7"/>
        <v>0</v>
      </c>
      <c r="L63">
        <f ca="1">COUNTIF($F$1:F63,F63)</f>
        <v>1</v>
      </c>
      <c r="M63" t="str" cm="1">
        <f t="array" aca="1" ref="M63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63" cm="1">
        <f t="array" aca="1" ref="N6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64617000</v>
      </c>
      <c r="O63" t="str" cm="1">
        <f t="array" aca="1" ref="O6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PSATIVM</v>
      </c>
    </row>
    <row r="64" spans="1:15" x14ac:dyDescent="0.25">
      <c r="A64">
        <f t="shared" ca="1" si="8"/>
        <v>16</v>
      </c>
      <c r="B64" t="s">
        <v>257</v>
      </c>
      <c r="C64" t="s">
        <v>258</v>
      </c>
      <c r="D64" t="s">
        <v>261</v>
      </c>
      <c r="E64" t="str" cm="1">
        <f t="array" aca="1" ref="E64" ca="1">IF(K64=0,F64,TRIM(OFFSET(INDIRECT("'"&amp;B64&amp;"'!A1"),I64+L64,1)))</f>
        <v>Porto Taquara</v>
      </c>
      <c r="F64" t="str" cm="1">
        <f t="array" aca="1" ref="F64" ca="1">TRIM(SUBSTITUTE(INDEX(INDIRECT("'"&amp;B64&amp;"'!A1:A1000"),H64),"Sub-bacia modelada:",""))</f>
        <v>Porto Taquara</v>
      </c>
      <c r="G64" t="str">
        <f t="shared" ca="1" si="4"/>
        <v>BASE - POSTO FLU</v>
      </c>
      <c r="H64" cm="1">
        <f t="array" aca="1" ref="H64" ca="1">SMALL(ROW(INDIRECT("'"&amp;B64&amp;"'!A1:A1000"))*IF(ISNUMBER(FIND("Sub-bacia modelada:",INDIRECT("'"&amp;B64&amp;"'!A1:A1000"))),1,9999),RESUMO!A64)</f>
        <v>328</v>
      </c>
      <c r="I64">
        <f t="shared" ca="1" si="5"/>
        <v>331</v>
      </c>
      <c r="J64">
        <f t="shared" ca="1" si="6"/>
        <v>335</v>
      </c>
      <c r="K64">
        <f t="shared" ca="1" si="7"/>
        <v>0</v>
      </c>
      <c r="L64">
        <f ca="1">COUNTIF($F$1:F64,F64)</f>
        <v>1</v>
      </c>
      <c r="M64" t="str" cm="1">
        <f t="array" aca="1" ref="M64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64" cm="1">
        <f t="array" aca="1" ref="N6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64693000</v>
      </c>
      <c r="O64" t="str" cm="1">
        <f t="array" aca="1" ref="O6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PSATPTQ</v>
      </c>
    </row>
    <row r="65" spans="1:15" x14ac:dyDescent="0.25">
      <c r="A65">
        <f t="shared" ca="1" si="8"/>
        <v>17</v>
      </c>
      <c r="B65" t="s">
        <v>257</v>
      </c>
      <c r="C65" t="s">
        <v>258</v>
      </c>
      <c r="D65" t="s">
        <v>261</v>
      </c>
      <c r="E65" t="str" cm="1">
        <f t="array" aca="1" ref="E65" ca="1">IF(K65=0,F65,TRIM(OFFSET(INDIRECT("'"&amp;B65&amp;"'!A1"),I65+L65,1)))</f>
        <v>Bill e Pedras</v>
      </c>
      <c r="F65" t="str" cm="1">
        <f t="array" aca="1" ref="F65" ca="1">TRIM(SUBSTITUTE(INDEX(INDIRECT("'"&amp;B65&amp;"'!A1:A1000"),H65),"Sub-bacia modelada:",""))</f>
        <v>Edgard de Souza</v>
      </c>
      <c r="G65" t="s">
        <v>256</v>
      </c>
      <c r="H65" cm="1">
        <f t="array" aca="1" ref="H65" ca="1">SMALL(ROW(INDIRECT("'"&amp;B65&amp;"'!A1:A1000"))*IF(ISNUMBER(FIND("Sub-bacia modelada:",INDIRECT("'"&amp;B65&amp;"'!A1:A1000"))),1,9999),RESUMO!A65)</f>
        <v>349</v>
      </c>
      <c r="I65">
        <f t="shared" ca="1" si="5"/>
        <v>352</v>
      </c>
      <c r="J65">
        <f t="shared" ca="1" si="6"/>
        <v>359</v>
      </c>
      <c r="K65">
        <f t="shared" ca="1" si="7"/>
        <v>4</v>
      </c>
      <c r="L65">
        <f ca="1">COUNTIF($F$1:F65,F65)</f>
        <v>1</v>
      </c>
      <c r="M65" cm="1">
        <f t="array" aca="1" ref="M65" ca="1">IF(Tabela2[[#This Row],[TIPO]]&lt;&gt;"BASE - POSTO FLU",_xlfn.XLOOKUP(Tabela2[[#This Row],[SUBBACIA]],INDIRECT("'"&amp;Tabela2[[#This Row],[MODELO]]&amp;"'!B1:B5000"),INDIRECT("'"&amp;Tabela2[[#This Row],[MODELO]]&amp;"'!A1:A5000")),"")</f>
        <v>119</v>
      </c>
      <c r="N65" t="str" cm="1">
        <f t="array" aca="1" ref="N6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65" t="str" cm="1">
        <f t="array" aca="1" ref="O6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PSATESZ</v>
      </c>
    </row>
    <row r="66" spans="1:15" x14ac:dyDescent="0.25">
      <c r="A66">
        <f t="shared" ca="1" si="8"/>
        <v>17</v>
      </c>
      <c r="B66" t="s">
        <v>257</v>
      </c>
      <c r="C66" t="s">
        <v>258</v>
      </c>
      <c r="D66" t="s">
        <v>261</v>
      </c>
      <c r="E66" t="str" cm="1">
        <f t="array" aca="1" ref="E66" ca="1">IF(K66=0,F66,TRIM(OFFSET(INDIRECT("'"&amp;B66&amp;"'!A1"),I66+L66,1)))</f>
        <v>E. S. + Pinheiros</v>
      </c>
      <c r="F66" t="str" cm="1">
        <f t="array" aca="1" ref="F66" ca="1">TRIM(SUBSTITUTE(INDEX(INDIRECT("'"&amp;B66&amp;"'!A1:A1000"),H66),"Sub-bacia modelada:",""))</f>
        <v>Edgard de Souza</v>
      </c>
      <c r="G66" t="str">
        <f t="shared" ca="1" si="4"/>
        <v>NÃO BASE</v>
      </c>
      <c r="H66" cm="1">
        <f t="array" aca="1" ref="H66" ca="1">SMALL(ROW(INDIRECT("'"&amp;B66&amp;"'!A1:A1000"))*IF(ISNUMBER(FIND("Sub-bacia modelada:",INDIRECT("'"&amp;B66&amp;"'!A1:A1000"))),1,9999),RESUMO!A66)</f>
        <v>349</v>
      </c>
      <c r="I66">
        <f t="shared" ref="I66:I98" ca="1" si="9">MATCH("Código",INDIRECT("'"&amp;B66&amp;"'!A"&amp;H66&amp;":A"&amp;H66+20),0)+H66-1</f>
        <v>352</v>
      </c>
      <c r="J66">
        <f t="shared" ref="J66:J98" ca="1" si="10">MATCH("Código",INDIRECT("'"&amp;B66&amp;"'!A"&amp;I66+1&amp;":A"&amp;H66+20),0)+I66</f>
        <v>359</v>
      </c>
      <c r="K66">
        <f t="shared" ref="K66:K98" ca="1" si="11">COUNT(INDIRECT("'"&amp;B66&amp;"'!A"&amp;I66&amp;":A"&amp;J66))</f>
        <v>4</v>
      </c>
      <c r="L66">
        <f ca="1">COUNTIF($F$1:F66,F66)</f>
        <v>2</v>
      </c>
      <c r="M66" cm="1">
        <f t="array" aca="1" ref="M66" ca="1">IF(Tabela2[[#This Row],[TIPO]]&lt;&gt;"BASE - POSTO FLU",_xlfn.XLOOKUP(Tabela2[[#This Row],[SUBBACIA]],INDIRECT("'"&amp;Tabela2[[#This Row],[MODELO]]&amp;"'!B1:B5000"),INDIRECT("'"&amp;Tabela2[[#This Row],[MODELO]]&amp;"'!A1:A5000")),"")</f>
        <v>161</v>
      </c>
      <c r="N66" t="str" cm="1">
        <f t="array" aca="1" ref="N6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66" t="str" cm="1">
        <f t="array" aca="1" ref="O6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67" spans="1:15" x14ac:dyDescent="0.25">
      <c r="A67">
        <f t="shared" ca="1" si="8"/>
        <v>17</v>
      </c>
      <c r="B67" t="s">
        <v>257</v>
      </c>
      <c r="C67" t="s">
        <v>258</v>
      </c>
      <c r="D67" t="s">
        <v>261</v>
      </c>
      <c r="E67" t="str" cm="1">
        <f t="array" aca="1" ref="E67" ca="1">IF(K67=0,F67,TRIM(OFFSET(INDIRECT("'"&amp;B67&amp;"'!A1"),I67+L67,1)))</f>
        <v>Guarapiranga</v>
      </c>
      <c r="F67" t="str" cm="1">
        <f t="array" aca="1" ref="F67" ca="1">TRIM(SUBSTITUTE(INDEX(INDIRECT("'"&amp;B67&amp;"'!A1:A1000"),H67),"Sub-bacia modelada:",""))</f>
        <v>Edgard de Souza</v>
      </c>
      <c r="G67" t="str">
        <f t="shared" ref="G67:G133" ca="1" si="12">IF(K67=0,"BASE - POSTO FLU",IF(OR(E67=F67,K67=1),"BASE - RESERVATÓRIO","NÃO BASE"))</f>
        <v>NÃO BASE</v>
      </c>
      <c r="H67" cm="1">
        <f t="array" aca="1" ref="H67" ca="1">SMALL(ROW(INDIRECT("'"&amp;B67&amp;"'!A1:A1000"))*IF(ISNUMBER(FIND("Sub-bacia modelada:",INDIRECT("'"&amp;B67&amp;"'!A1:A1000"))),1,9999),RESUMO!A67)</f>
        <v>349</v>
      </c>
      <c r="I67">
        <f t="shared" ca="1" si="9"/>
        <v>352</v>
      </c>
      <c r="J67">
        <f t="shared" ca="1" si="10"/>
        <v>359</v>
      </c>
      <c r="K67">
        <f t="shared" ca="1" si="11"/>
        <v>4</v>
      </c>
      <c r="L67">
        <f ca="1">COUNTIF($F$1:F67,F67)</f>
        <v>3</v>
      </c>
      <c r="M67" cm="1">
        <f t="array" aca="1" ref="M67" ca="1">IF(Tabela2[[#This Row],[TIPO]]&lt;&gt;"BASE - POSTO FLU",_xlfn.XLOOKUP(Tabela2[[#This Row],[SUBBACIA]],INDIRECT("'"&amp;Tabela2[[#This Row],[MODELO]]&amp;"'!B1:B5000"),INDIRECT("'"&amp;Tabela2[[#This Row],[MODELO]]&amp;"'!A1:A5000")),"")</f>
        <v>117</v>
      </c>
      <c r="N67" t="str" cm="1">
        <f t="array" aca="1" ref="N6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67" t="str" cm="1">
        <f t="array" aca="1" ref="O6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68" spans="1:15" x14ac:dyDescent="0.25">
      <c r="A68">
        <f t="shared" ca="1" si="8"/>
        <v>17</v>
      </c>
      <c r="B68" t="s">
        <v>257</v>
      </c>
      <c r="C68" t="s">
        <v>258</v>
      </c>
      <c r="D68" t="s">
        <v>261</v>
      </c>
      <c r="E68" t="str" cm="1">
        <f t="array" aca="1" ref="E68" ca="1">IF(K68=0,F68,TRIM(OFFSET(INDIRECT("'"&amp;B68&amp;"'!A1"),I68+L68,1)))</f>
        <v>Ponte Nova</v>
      </c>
      <c r="F68" t="str" cm="1">
        <f t="array" aca="1" ref="F68" ca="1">TRIM(SUBSTITUTE(INDEX(INDIRECT("'"&amp;B68&amp;"'!A1:A1000"),H68),"Sub-bacia modelada:",""))</f>
        <v>Edgard de Souza</v>
      </c>
      <c r="G68" t="str">
        <f t="shared" ca="1" si="12"/>
        <v>NÃO BASE</v>
      </c>
      <c r="H68" cm="1">
        <f t="array" aca="1" ref="H68" ca="1">SMALL(ROW(INDIRECT("'"&amp;B68&amp;"'!A1:A1000"))*IF(ISNUMBER(FIND("Sub-bacia modelada:",INDIRECT("'"&amp;B68&amp;"'!A1:A1000"))),1,9999),RESUMO!A68)</f>
        <v>349</v>
      </c>
      <c r="I68">
        <f t="shared" ca="1" si="9"/>
        <v>352</v>
      </c>
      <c r="J68">
        <f t="shared" ca="1" si="10"/>
        <v>359</v>
      </c>
      <c r="K68">
        <f t="shared" ca="1" si="11"/>
        <v>4</v>
      </c>
      <c r="L68">
        <f ca="1">COUNTIF($F$1:F68,F68)</f>
        <v>4</v>
      </c>
      <c r="M68" cm="1">
        <f t="array" aca="1" ref="M68" ca="1">IF(Tabela2[[#This Row],[TIPO]]&lt;&gt;"BASE - POSTO FLU",_xlfn.XLOOKUP(Tabela2[[#This Row],[SUBBACIA]],INDIRECT("'"&amp;Tabela2[[#This Row],[MODELO]]&amp;"'!B1:B5000"),INDIRECT("'"&amp;Tabela2[[#This Row],[MODELO]]&amp;"'!A1:A5000")),"")</f>
        <v>160</v>
      </c>
      <c r="N68" t="str" cm="1">
        <f t="array" aca="1" ref="N6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68" t="str" cm="1">
        <f t="array" aca="1" ref="O6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69" spans="1:15" x14ac:dyDescent="0.25">
      <c r="A69">
        <f t="shared" ca="1" si="8"/>
        <v>18</v>
      </c>
      <c r="B69" t="s">
        <v>257</v>
      </c>
      <c r="C69" t="s">
        <v>258</v>
      </c>
      <c r="D69" t="s">
        <v>261</v>
      </c>
      <c r="E69" t="str" cm="1">
        <f t="array" aca="1" ref="E69" ca="1">IF(K69=0,F69,TRIM(OFFSET(INDIRECT("'"&amp;B69&amp;"'!A1"),I69+L69,1)))</f>
        <v>B. Bonita</v>
      </c>
      <c r="F69" t="str" cm="1">
        <f t="array" aca="1" ref="F69" ca="1">TRIM(SUBSTITUTE(INDEX(INDIRECT("'"&amp;B69&amp;"'!A1:A1000"),H69),"Sub-bacia modelada:",""))</f>
        <v>Barra Bonita</v>
      </c>
      <c r="G69" t="str">
        <f t="shared" ca="1" si="12"/>
        <v>BASE - RESERVATÓRIO</v>
      </c>
      <c r="H69" cm="1">
        <f t="array" aca="1" ref="H69" ca="1">SMALL(ROW(INDIRECT("'"&amp;B69&amp;"'!A1:A1000"))*IF(ISNUMBER(FIND("Sub-bacia modelada:",INDIRECT("'"&amp;B69&amp;"'!A1:A1000"))),1,9999),RESUMO!A69)</f>
        <v>373</v>
      </c>
      <c r="I69">
        <f t="shared" ca="1" si="9"/>
        <v>376</v>
      </c>
      <c r="J69">
        <f t="shared" ca="1" si="10"/>
        <v>380</v>
      </c>
      <c r="K69">
        <f t="shared" ca="1" si="11"/>
        <v>1</v>
      </c>
      <c r="L69">
        <f ca="1">COUNTIF($F$1:F69,F69)</f>
        <v>1</v>
      </c>
      <c r="M69" cm="1">
        <f t="array" aca="1" ref="M69" ca="1">IF(Tabela2[[#This Row],[TIPO]]&lt;&gt;"BASE - POSTO FLU",_xlfn.XLOOKUP(Tabela2[[#This Row],[SUBBACIA]],INDIRECT("'"&amp;Tabela2[[#This Row],[MODELO]]&amp;"'!B1:B5000"),INDIRECT("'"&amp;Tabela2[[#This Row],[MODELO]]&amp;"'!A1:A5000")),"")</f>
        <v>237</v>
      </c>
      <c r="N69" t="str" cm="1">
        <f t="array" aca="1" ref="N6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69" t="str" cm="1">
        <f t="array" aca="1" ref="O6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PSATBBO</v>
      </c>
    </row>
    <row r="70" spans="1:15" x14ac:dyDescent="0.25">
      <c r="A70">
        <f t="shared" ca="1" si="8"/>
        <v>19</v>
      </c>
      <c r="B70" t="s">
        <v>257</v>
      </c>
      <c r="C70" t="s">
        <v>258</v>
      </c>
      <c r="D70" t="s">
        <v>261</v>
      </c>
      <c r="E70" t="str" cm="1">
        <f t="array" aca="1" ref="E70" ca="1">IF(K70=0,F70,TRIM(OFFSET(INDIRECT("'"&amp;B70&amp;"'!A1"),I70+L70,1)))</f>
        <v>Bariri</v>
      </c>
      <c r="F70" t="str" cm="1">
        <f t="array" aca="1" ref="F70" ca="1">TRIM(SUBSTITUTE(INDEX(INDIRECT("'"&amp;B70&amp;"'!A1:A1000"),H70),"Sub-bacia modelada:",""))</f>
        <v>Ibitinga</v>
      </c>
      <c r="G70" t="str">
        <f t="shared" ca="1" si="12"/>
        <v>NÃO BASE</v>
      </c>
      <c r="H70" cm="1">
        <f t="array" aca="1" ref="H70" ca="1">SMALL(ROW(INDIRECT("'"&amp;B70&amp;"'!A1:A1000"))*IF(ISNUMBER(FIND("Sub-bacia modelada:",INDIRECT("'"&amp;B70&amp;"'!A1:A1000"))),1,9999),RESUMO!A70)</f>
        <v>394</v>
      </c>
      <c r="I70">
        <f t="shared" ca="1" si="9"/>
        <v>397</v>
      </c>
      <c r="J70">
        <f t="shared" ca="1" si="10"/>
        <v>402</v>
      </c>
      <c r="K70">
        <f t="shared" ca="1" si="11"/>
        <v>2</v>
      </c>
      <c r="L70">
        <f ca="1">COUNTIF($F$1:F70,F70)</f>
        <v>1</v>
      </c>
      <c r="M70" cm="1">
        <f t="array" aca="1" ref="M70" ca="1">IF(Tabela2[[#This Row],[TIPO]]&lt;&gt;"BASE - POSTO FLU",_xlfn.XLOOKUP(Tabela2[[#This Row],[SUBBACIA]],INDIRECT("'"&amp;Tabela2[[#This Row],[MODELO]]&amp;"'!B1:B5000"),INDIRECT("'"&amp;Tabela2[[#This Row],[MODELO]]&amp;"'!A1:A5000")),"")</f>
        <v>238</v>
      </c>
      <c r="N70" t="str" cm="1">
        <f t="array" aca="1" ref="N7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70" t="str" cm="1">
        <f t="array" aca="1" ref="O7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71" spans="1:15" x14ac:dyDescent="0.25">
      <c r="A71">
        <f t="shared" ca="1" si="8"/>
        <v>19</v>
      </c>
      <c r="B71" t="s">
        <v>257</v>
      </c>
      <c r="C71" t="s">
        <v>258</v>
      </c>
      <c r="D71" t="s">
        <v>261</v>
      </c>
      <c r="E71" t="str" cm="1">
        <f t="array" aca="1" ref="E71" ca="1">IF(K71=0,F71,TRIM(OFFSET(INDIRECT("'"&amp;B71&amp;"'!A1"),I71+L71,1)))</f>
        <v>Ibitinga</v>
      </c>
      <c r="F71" t="str" cm="1">
        <f t="array" aca="1" ref="F71" ca="1">TRIM(SUBSTITUTE(INDEX(INDIRECT("'"&amp;B71&amp;"'!A1:A1000"),H71),"Sub-bacia modelada:",""))</f>
        <v>Ibitinga</v>
      </c>
      <c r="G71" t="s">
        <v>256</v>
      </c>
      <c r="H71" cm="1">
        <f t="array" aca="1" ref="H71" ca="1">SMALL(ROW(INDIRECT("'"&amp;B71&amp;"'!A1:A1000"))*IF(ISNUMBER(FIND("Sub-bacia modelada:",INDIRECT("'"&amp;B71&amp;"'!A1:A1000"))),1,9999),RESUMO!A71)</f>
        <v>394</v>
      </c>
      <c r="I71">
        <f t="shared" ca="1" si="9"/>
        <v>397</v>
      </c>
      <c r="J71">
        <f t="shared" ca="1" si="10"/>
        <v>402</v>
      </c>
      <c r="K71">
        <f t="shared" ca="1" si="11"/>
        <v>2</v>
      </c>
      <c r="L71">
        <f ca="1">COUNTIF($F$1:F71,F71)</f>
        <v>2</v>
      </c>
      <c r="M71" cm="1">
        <f t="array" aca="1" ref="M71" ca="1">IF(Tabela2[[#This Row],[TIPO]]&lt;&gt;"BASE - POSTO FLU",_xlfn.XLOOKUP(Tabela2[[#This Row],[SUBBACIA]],INDIRECT("'"&amp;Tabela2[[#This Row],[MODELO]]&amp;"'!B1:B5000"),INDIRECT("'"&amp;Tabela2[[#This Row],[MODELO]]&amp;"'!A1:A5000")),"")</f>
        <v>239</v>
      </c>
      <c r="N71" t="str" cm="1">
        <f t="array" aca="1" ref="N7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71" t="str" cm="1">
        <f t="array" aca="1" ref="O7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PSATIBT</v>
      </c>
    </row>
    <row r="72" spans="1:15" x14ac:dyDescent="0.25">
      <c r="A72">
        <f t="shared" ca="1" si="8"/>
        <v>20</v>
      </c>
      <c r="B72" t="s">
        <v>257</v>
      </c>
      <c r="C72" t="s">
        <v>258</v>
      </c>
      <c r="D72" t="s">
        <v>261</v>
      </c>
      <c r="E72" t="str" cm="1">
        <f t="array" aca="1" ref="E72" ca="1">IF(K72=0,F72,TRIM(OFFSET(INDIRECT("'"&amp;B72&amp;"'!A1"),I72+L72,1)))</f>
        <v>N. Avanhandava</v>
      </c>
      <c r="F72" t="str" cm="1">
        <f t="array" aca="1" ref="F72" ca="1">TRIM(SUBSTITUTE(INDEX(INDIRECT("'"&amp;B72&amp;"'!A1:A1000"),H72),"Sub-bacia modelada:",""))</f>
        <v>Nova Avanhandava</v>
      </c>
      <c r="G72" t="str">
        <f t="shared" ca="1" si="12"/>
        <v>NÃO BASE</v>
      </c>
      <c r="H72" cm="1">
        <f t="array" aca="1" ref="H72" ca="1">SMALL(ROW(INDIRECT("'"&amp;B72&amp;"'!A1:A1000"))*IF(ISNUMBER(FIND("Sub-bacia modelada:",INDIRECT("'"&amp;B72&amp;"'!A1:A1000"))),1,9999),RESUMO!A72)</f>
        <v>416</v>
      </c>
      <c r="I72">
        <f t="shared" ca="1" si="9"/>
        <v>419</v>
      </c>
      <c r="J72">
        <f t="shared" ca="1" si="10"/>
        <v>424</v>
      </c>
      <c r="K72">
        <f t="shared" ca="1" si="11"/>
        <v>2</v>
      </c>
      <c r="L72">
        <f ca="1">COUNTIF($F$1:F72,F72)</f>
        <v>1</v>
      </c>
      <c r="M72" cm="1">
        <f t="array" aca="1" ref="M72" ca="1">IF(Tabela2[[#This Row],[TIPO]]&lt;&gt;"BASE - POSTO FLU",_xlfn.XLOOKUP(Tabela2[[#This Row],[SUBBACIA]],INDIRECT("'"&amp;Tabela2[[#This Row],[MODELO]]&amp;"'!B1:B5000"),INDIRECT("'"&amp;Tabela2[[#This Row],[MODELO]]&amp;"'!A1:A5000")),"")</f>
        <v>242</v>
      </c>
      <c r="N72" t="str" cm="1">
        <f t="array" aca="1" ref="N7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72" t="str" cm="1">
        <f t="array" aca="1" ref="O7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73" spans="1:15" x14ac:dyDescent="0.25">
      <c r="A73">
        <v>1</v>
      </c>
      <c r="B73" t="s">
        <v>262</v>
      </c>
      <c r="C73" t="s">
        <v>263</v>
      </c>
      <c r="D73" t="s">
        <v>264</v>
      </c>
      <c r="E73" t="str" cm="1">
        <f t="array" aca="1" ref="E73" ca="1">IF(K73=0,F73,TRIM(OFFSET(INDIRECT("'"&amp;B73&amp;"'!A1"),I73+L73,1)))</f>
        <v>G. B. Munhoz</v>
      </c>
      <c r="F73" t="str" cm="1">
        <f t="array" aca="1" ref="F73" ca="1">TRIM(SUBSTITUTE(INDEX(INDIRECT("'"&amp;B73&amp;"'!A1:A1000"),H73),"Sub-bacia modelada:",""))</f>
        <v>Foz do Areia</v>
      </c>
      <c r="G73" t="str">
        <f t="shared" ca="1" si="12"/>
        <v>BASE - RESERVATÓRIO</v>
      </c>
      <c r="H73" cm="1">
        <f t="array" aca="1" ref="H73" ca="1">SMALL(ROW(INDIRECT("'"&amp;B73&amp;"'!A1:A1000"))*IF(ISNUMBER(FIND("Sub-bacia modelada:",INDIRECT("'"&amp;B73&amp;"'!A1:A1000"))),1,9999),RESUMO!A73)</f>
        <v>2</v>
      </c>
      <c r="I73">
        <f t="shared" ca="1" si="9"/>
        <v>5</v>
      </c>
      <c r="J73">
        <f t="shared" ca="1" si="10"/>
        <v>9</v>
      </c>
      <c r="K73">
        <f t="shared" ca="1" si="11"/>
        <v>1</v>
      </c>
      <c r="L73">
        <f ca="1">COUNTIF($F$1:F73,F73)</f>
        <v>1</v>
      </c>
      <c r="M73" cm="1">
        <f t="array" aca="1" ref="M73" ca="1">IF(Tabela2[[#This Row],[TIPO]]&lt;&gt;"BASE - POSTO FLU",_xlfn.XLOOKUP(Tabela2[[#This Row],[SUBBACIA]],INDIRECT("'"&amp;Tabela2[[#This Row],[MODELO]]&amp;"'!B1:B5000"),INDIRECT("'"&amp;Tabela2[[#This Row],[MODELO]]&amp;"'!A1:A5000")),"")</f>
        <v>74</v>
      </c>
      <c r="N73" t="str" cm="1">
        <f t="array" aca="1" ref="N7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73" t="str" cm="1">
        <f t="array" aca="1" ref="O7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PSATFZA</v>
      </c>
    </row>
    <row r="74" spans="1:15" x14ac:dyDescent="0.25">
      <c r="A74">
        <f t="shared" ref="A74:A106" ca="1" si="13">IF(AND(K73&gt;1,L73&lt;&gt;K73),A73,A73+1)</f>
        <v>2</v>
      </c>
      <c r="B74" t="s">
        <v>262</v>
      </c>
      <c r="C74" t="s">
        <v>263</v>
      </c>
      <c r="D74" t="s">
        <v>264</v>
      </c>
      <c r="E74" t="str" cm="1">
        <f t="array" aca="1" ref="E74" ca="1">IF(K74=0,F74,TRIM(OFFSET(INDIRECT("'"&amp;B74&amp;"'!A1"),I74+L74,1)))</f>
        <v>União da Vitória</v>
      </c>
      <c r="F74" t="str" cm="1">
        <f t="array" aca="1" ref="F74" ca="1">TRIM(SUBSTITUTE(INDEX(INDIRECT("'"&amp;B74&amp;"'!A1:A1000"),H74),"Sub-bacia modelada:",""))</f>
        <v>União da Vitória</v>
      </c>
      <c r="G74" t="str">
        <f t="shared" ca="1" si="12"/>
        <v>BASE - POSTO FLU</v>
      </c>
      <c r="H74" cm="1">
        <f t="array" aca="1" ref="H74" ca="1">SMALL(ROW(INDIRECT("'"&amp;B74&amp;"'!A1:A1000"))*IF(ISNUMBER(FIND("Sub-bacia modelada:",INDIRECT("'"&amp;B74&amp;"'!A1:A1000"))),1,9999),RESUMO!A74)</f>
        <v>23</v>
      </c>
      <c r="I74">
        <f t="shared" ca="1" si="9"/>
        <v>26</v>
      </c>
      <c r="J74">
        <f t="shared" ca="1" si="10"/>
        <v>30</v>
      </c>
      <c r="K74">
        <f t="shared" ca="1" si="11"/>
        <v>0</v>
      </c>
      <c r="L74">
        <f ca="1">COUNTIF($F$1:F74,F74)</f>
        <v>1</v>
      </c>
      <c r="M74" t="str" cm="1">
        <f t="array" aca="1" ref="M74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74" cm="1">
        <f t="array" aca="1" ref="N7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65310001</v>
      </c>
      <c r="O74" t="str" cm="1">
        <f t="array" aca="1" ref="O7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PSATUVT</v>
      </c>
    </row>
    <row r="75" spans="1:15" x14ac:dyDescent="0.25">
      <c r="A75">
        <f t="shared" ca="1" si="13"/>
        <v>3</v>
      </c>
      <c r="B75" t="s">
        <v>262</v>
      </c>
      <c r="C75" t="s">
        <v>263</v>
      </c>
      <c r="D75" t="s">
        <v>264</v>
      </c>
      <c r="E75" t="str" cm="1">
        <f t="array" aca="1" ref="E75" ca="1">IF(K75=0,F75,TRIM(OFFSET(INDIRECT("'"&amp;B75&amp;"'!A1"),I75+L75,1)))</f>
        <v>Santa Clara - PR</v>
      </c>
      <c r="F75" t="str" cm="1">
        <f t="array" aca="1" ref="F75" ca="1">TRIM(SUBSTITUTE(INDEX(INDIRECT("'"&amp;B75&amp;"'!A1:A1000"),H75),"Sub-bacia modelada:",""))</f>
        <v>Santa Clara</v>
      </c>
      <c r="G75" t="str">
        <f t="shared" ca="1" si="12"/>
        <v>BASE - RESERVATÓRIO</v>
      </c>
      <c r="H75" cm="1">
        <f t="array" aca="1" ref="H75" ca="1">SMALL(ROW(INDIRECT("'"&amp;B75&amp;"'!A1:A1000"))*IF(ISNUMBER(FIND("Sub-bacia modelada:",INDIRECT("'"&amp;B75&amp;"'!A1:A1000"))),1,9999),RESUMO!A75)</f>
        <v>44</v>
      </c>
      <c r="I75">
        <f t="shared" ca="1" si="9"/>
        <v>47</v>
      </c>
      <c r="J75">
        <f t="shared" ca="1" si="10"/>
        <v>51</v>
      </c>
      <c r="K75">
        <f t="shared" ca="1" si="11"/>
        <v>1</v>
      </c>
      <c r="L75">
        <f ca="1">COUNTIF($F$1:F75,F75)</f>
        <v>1</v>
      </c>
      <c r="M75" cm="1">
        <f t="array" aca="1" ref="M75" ca="1">IF(Tabela2[[#This Row],[TIPO]]&lt;&gt;"BASE - POSTO FLU",_xlfn.XLOOKUP(Tabela2[[#This Row],[SUBBACIA]],INDIRECT("'"&amp;Tabela2[[#This Row],[MODELO]]&amp;"'!B1:B5000"),INDIRECT("'"&amp;Tabela2[[#This Row],[MODELO]]&amp;"'!A1:A5000")),"")</f>
        <v>71</v>
      </c>
      <c r="N75" t="str" cm="1">
        <f t="array" aca="1" ref="N7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75" t="str" cm="1">
        <f t="array" aca="1" ref="O7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PSATSCL</v>
      </c>
    </row>
    <row r="76" spans="1:15" x14ac:dyDescent="0.25">
      <c r="A76">
        <f t="shared" ca="1" si="13"/>
        <v>4</v>
      </c>
      <c r="B76" t="s">
        <v>262</v>
      </c>
      <c r="C76" t="s">
        <v>263</v>
      </c>
      <c r="D76" t="s">
        <v>264</v>
      </c>
      <c r="E76" t="str" cm="1">
        <f t="array" aca="1" ref="E76" ca="1">IF(K76=0,F76,TRIM(OFFSET(INDIRECT("'"&amp;B76&amp;"'!A1"),I76+L76,1)))</f>
        <v>Fundão</v>
      </c>
      <c r="F76" t="str" cm="1">
        <f t="array" aca="1" ref="F76" ca="1">TRIM(SUBSTITUTE(INDEX(INDIRECT("'"&amp;B76&amp;"'!A1:A1000"),H76),"Sub-bacia modelada:",""))</f>
        <v>Jordão - Segredo</v>
      </c>
      <c r="G76" t="str">
        <f t="shared" ca="1" si="12"/>
        <v>NÃO BASE</v>
      </c>
      <c r="H76" cm="1">
        <f t="array" aca="1" ref="H76" ca="1">SMALL(ROW(INDIRECT("'"&amp;B76&amp;"'!A1:A1000"))*IF(ISNUMBER(FIND("Sub-bacia modelada:",INDIRECT("'"&amp;B76&amp;"'!A1:A1000"))),1,9999),RESUMO!A76)</f>
        <v>65</v>
      </c>
      <c r="I76">
        <f t="shared" ca="1" si="9"/>
        <v>68</v>
      </c>
      <c r="J76">
        <f t="shared" ca="1" si="10"/>
        <v>75</v>
      </c>
      <c r="K76">
        <f t="shared" ca="1" si="11"/>
        <v>4</v>
      </c>
      <c r="L76">
        <f ca="1">COUNTIF($F$1:F76,F76)</f>
        <v>1</v>
      </c>
      <c r="M76" cm="1">
        <f t="array" aca="1" ref="M76" ca="1">IF(Tabela2[[#This Row],[TIPO]]&lt;&gt;"BASE - POSTO FLU",_xlfn.XLOOKUP(Tabela2[[#This Row],[SUBBACIA]],INDIRECT("'"&amp;Tabela2[[#This Row],[MODELO]]&amp;"'!B1:B5000"),INDIRECT("'"&amp;Tabela2[[#This Row],[MODELO]]&amp;"'!A1:A5000")),"")</f>
        <v>72</v>
      </c>
      <c r="N76" t="str" cm="1">
        <f t="array" aca="1" ref="N7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76" t="str" cm="1">
        <f t="array" aca="1" ref="O7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77" spans="1:15" x14ac:dyDescent="0.25">
      <c r="A77">
        <f t="shared" ca="1" si="13"/>
        <v>4</v>
      </c>
      <c r="B77" t="s">
        <v>262</v>
      </c>
      <c r="C77" t="s">
        <v>263</v>
      </c>
      <c r="D77" t="s">
        <v>264</v>
      </c>
      <c r="E77" t="str" cm="1">
        <f t="array" aca="1" ref="E77" ca="1">IF(K77=0,F77,TRIM(OFFSET(INDIRECT("'"&amp;B77&amp;"'!A1"),I77+L77,1)))</f>
        <v>Jordão</v>
      </c>
      <c r="F77" t="str" cm="1">
        <f t="array" aca="1" ref="F77" ca="1">TRIM(SUBSTITUTE(INDEX(INDIRECT("'"&amp;B77&amp;"'!A1:A1000"),H77),"Sub-bacia modelada:",""))</f>
        <v>Jordão - Segredo</v>
      </c>
      <c r="G77" t="str">
        <f t="shared" ca="1" si="12"/>
        <v>NÃO BASE</v>
      </c>
      <c r="H77" cm="1">
        <f t="array" aca="1" ref="H77" ca="1">SMALL(ROW(INDIRECT("'"&amp;B77&amp;"'!A1:A1000"))*IF(ISNUMBER(FIND("Sub-bacia modelada:",INDIRECT("'"&amp;B77&amp;"'!A1:A1000"))),1,9999),RESUMO!A77)</f>
        <v>65</v>
      </c>
      <c r="I77">
        <f t="shared" ca="1" si="9"/>
        <v>68</v>
      </c>
      <c r="J77">
        <f t="shared" ca="1" si="10"/>
        <v>75</v>
      </c>
      <c r="K77">
        <f t="shared" ca="1" si="11"/>
        <v>4</v>
      </c>
      <c r="L77">
        <f ca="1">COUNTIF($F$1:F77,F77)</f>
        <v>2</v>
      </c>
      <c r="M77" cm="1">
        <f t="array" aca="1" ref="M77" ca="1">IF(Tabela2[[#This Row],[TIPO]]&lt;&gt;"BASE - POSTO FLU",_xlfn.XLOOKUP(Tabela2[[#This Row],[SUBBACIA]],INDIRECT("'"&amp;Tabela2[[#This Row],[MODELO]]&amp;"'!B1:B5000"),INDIRECT("'"&amp;Tabela2[[#This Row],[MODELO]]&amp;"'!A1:A5000")),"")</f>
        <v>73</v>
      </c>
      <c r="N77" t="str" cm="1">
        <f t="array" aca="1" ref="N7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77" t="str" cm="1">
        <f t="array" aca="1" ref="O7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78" spans="1:15" x14ac:dyDescent="0.25">
      <c r="A78">
        <f t="shared" ca="1" si="13"/>
        <v>4</v>
      </c>
      <c r="B78" t="s">
        <v>262</v>
      </c>
      <c r="C78" t="s">
        <v>263</v>
      </c>
      <c r="D78" t="s">
        <v>264</v>
      </c>
      <c r="E78" t="str" cm="1">
        <f t="array" aca="1" ref="E78" ca="1">IF(K78=0,F78,TRIM(OFFSET(INDIRECT("'"&amp;B78&amp;"'!A1"),I78+L78,1)))</f>
        <v>Segredo</v>
      </c>
      <c r="F78" t="str" cm="1">
        <f t="array" aca="1" ref="F78" ca="1">TRIM(SUBSTITUTE(INDEX(INDIRECT("'"&amp;B78&amp;"'!A1:A1000"),H78),"Sub-bacia modelada:",""))</f>
        <v>Jordão - Segredo</v>
      </c>
      <c r="G78" t="str">
        <f t="shared" ca="1" si="12"/>
        <v>NÃO BASE</v>
      </c>
      <c r="H78" cm="1">
        <f t="array" aca="1" ref="H78" ca="1">SMALL(ROW(INDIRECT("'"&amp;B78&amp;"'!A1:A1000"))*IF(ISNUMBER(FIND("Sub-bacia modelada:",INDIRECT("'"&amp;B78&amp;"'!A1:A1000"))),1,9999),RESUMO!A78)</f>
        <v>65</v>
      </c>
      <c r="I78">
        <f t="shared" ca="1" si="9"/>
        <v>68</v>
      </c>
      <c r="J78">
        <f t="shared" ca="1" si="10"/>
        <v>75</v>
      </c>
      <c r="K78">
        <f t="shared" ca="1" si="11"/>
        <v>4</v>
      </c>
      <c r="L78">
        <f ca="1">COUNTIF($F$1:F78,F78)</f>
        <v>3</v>
      </c>
      <c r="M78" cm="1">
        <f t="array" aca="1" ref="M78" ca="1">IF(Tabela2[[#This Row],[TIPO]]&lt;&gt;"BASE - POSTO FLU",_xlfn.XLOOKUP(Tabela2[[#This Row],[SUBBACIA]],INDIRECT("'"&amp;Tabela2[[#This Row],[MODELO]]&amp;"'!B1:B5000"),INDIRECT("'"&amp;Tabela2[[#This Row],[MODELO]]&amp;"'!A1:A5000")),"")</f>
        <v>76</v>
      </c>
      <c r="N78" t="str" cm="1">
        <f t="array" aca="1" ref="N7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78" t="str" cm="1">
        <f t="array" aca="1" ref="O7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79" spans="1:15" x14ac:dyDescent="0.25">
      <c r="A79">
        <f t="shared" ca="1" si="13"/>
        <v>4</v>
      </c>
      <c r="B79" t="s">
        <v>262</v>
      </c>
      <c r="C79" t="s">
        <v>263</v>
      </c>
      <c r="D79" t="s">
        <v>264</v>
      </c>
      <c r="E79" t="str" cm="1">
        <f t="array" aca="1" ref="E79" ca="1">IF(K79=0,F79,TRIM(OFFSET(INDIRECT("'"&amp;B79&amp;"'!A1"),I79+L79,1)))</f>
        <v>Segredo+Jordão</v>
      </c>
      <c r="F79" t="str" cm="1">
        <f t="array" aca="1" ref="F79" ca="1">TRIM(SUBSTITUTE(INDEX(INDIRECT("'"&amp;B79&amp;"'!A1:A1000"),H79),"Sub-bacia modelada:",""))</f>
        <v>Jordão - Segredo</v>
      </c>
      <c r="G79" t="s">
        <v>256</v>
      </c>
      <c r="H79" cm="1">
        <f t="array" aca="1" ref="H79" ca="1">SMALL(ROW(INDIRECT("'"&amp;B79&amp;"'!A1:A1000"))*IF(ISNUMBER(FIND("Sub-bacia modelada:",INDIRECT("'"&amp;B79&amp;"'!A1:A1000"))),1,9999),RESUMO!A79)</f>
        <v>65</v>
      </c>
      <c r="I79">
        <f t="shared" ca="1" si="9"/>
        <v>68</v>
      </c>
      <c r="J79">
        <f t="shared" ca="1" si="10"/>
        <v>75</v>
      </c>
      <c r="K79">
        <f t="shared" ca="1" si="11"/>
        <v>4</v>
      </c>
      <c r="L79">
        <f ca="1">COUNTIF($F$1:F79,F79)</f>
        <v>4</v>
      </c>
      <c r="M79" cm="1">
        <f t="array" aca="1" ref="M79" ca="1">IF(Tabela2[[#This Row],[TIPO]]&lt;&gt;"BASE - POSTO FLU",_xlfn.XLOOKUP(Tabela2[[#This Row],[SUBBACIA]],INDIRECT("'"&amp;Tabela2[[#This Row],[MODELO]]&amp;"'!B1:B5000"),INDIRECT("'"&amp;Tabela2[[#This Row],[MODELO]]&amp;"'!A1:A5000")),"")</f>
        <v>976</v>
      </c>
      <c r="N79" t="str" cm="1">
        <f t="array" aca="1" ref="N7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79" t="str" cm="1">
        <f t="array" aca="1" ref="O7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PSATJSG</v>
      </c>
    </row>
    <row r="80" spans="1:15" x14ac:dyDescent="0.25">
      <c r="A80">
        <f t="shared" ca="1" si="13"/>
        <v>5</v>
      </c>
      <c r="B80" t="s">
        <v>262</v>
      </c>
      <c r="C80" t="s">
        <v>263</v>
      </c>
      <c r="D80" t="s">
        <v>264</v>
      </c>
      <c r="E80" t="str" cm="1">
        <f t="array" aca="1" ref="E80" ca="1">IF(K80=0,F80,TRIM(OFFSET(INDIRECT("'"&amp;B80&amp;"'!A1"),I80+L80,1)))</f>
        <v>Salto Caxias</v>
      </c>
      <c r="F80" t="str" cm="1">
        <f t="array" aca="1" ref="F80" ca="1">TRIM(SUBSTITUTE(INDEX(INDIRECT("'"&amp;B80&amp;"'!A1:A1000"),H80),"Sub-bacia modelada:",""))</f>
        <v>Baixo Iguaçu</v>
      </c>
      <c r="G80" t="str">
        <f t="shared" ca="1" si="12"/>
        <v>NÃO BASE</v>
      </c>
      <c r="H80" cm="1">
        <f t="array" aca="1" ref="H80" ca="1">SMALL(ROW(INDIRECT("'"&amp;B80&amp;"'!A1:A1000"))*IF(ISNUMBER(FIND("Sub-bacia modelada:",INDIRECT("'"&amp;B80&amp;"'!A1:A1000"))),1,9999),RESUMO!A80)</f>
        <v>89</v>
      </c>
      <c r="I80">
        <f t="shared" ca="1" si="9"/>
        <v>92</v>
      </c>
      <c r="J80">
        <f t="shared" ca="1" si="10"/>
        <v>99</v>
      </c>
      <c r="K80">
        <f t="shared" ca="1" si="11"/>
        <v>4</v>
      </c>
      <c r="L80">
        <f ca="1">COUNTIF($F$1:F80,F80)</f>
        <v>1</v>
      </c>
      <c r="M80" cm="1">
        <f t="array" aca="1" ref="M80" ca="1">IF(Tabela2[[#This Row],[TIPO]]&lt;&gt;"BASE - POSTO FLU",_xlfn.XLOOKUP(Tabela2[[#This Row],[SUBBACIA]],INDIRECT("'"&amp;Tabela2[[#This Row],[MODELO]]&amp;"'!B1:B5000"),INDIRECT("'"&amp;Tabela2[[#This Row],[MODELO]]&amp;"'!A1:A5000")),"")</f>
        <v>222</v>
      </c>
      <c r="N80" t="str" cm="1">
        <f t="array" aca="1" ref="N8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80" t="str" cm="1">
        <f t="array" aca="1" ref="O8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81" spans="1:15" x14ac:dyDescent="0.25">
      <c r="A81">
        <f t="shared" ca="1" si="13"/>
        <v>5</v>
      </c>
      <c r="B81" t="s">
        <v>262</v>
      </c>
      <c r="C81" t="s">
        <v>263</v>
      </c>
      <c r="D81" t="s">
        <v>264</v>
      </c>
      <c r="E81" t="str" cm="1">
        <f t="array" aca="1" ref="E81" ca="1">IF(K81=0,F81,TRIM(OFFSET(INDIRECT("'"&amp;B81&amp;"'!A1"),I81+L81,1)))</f>
        <v>Salto Osorio</v>
      </c>
      <c r="F81" t="str" cm="1">
        <f t="array" aca="1" ref="F81" ca="1">TRIM(SUBSTITUTE(INDEX(INDIRECT("'"&amp;B81&amp;"'!A1:A1000"),H81),"Sub-bacia modelada:",""))</f>
        <v>Baixo Iguaçu</v>
      </c>
      <c r="G81" t="str">
        <f t="shared" ca="1" si="12"/>
        <v>NÃO BASE</v>
      </c>
      <c r="H81" cm="1">
        <f t="array" aca="1" ref="H81" ca="1">SMALL(ROW(INDIRECT("'"&amp;B81&amp;"'!A1:A1000"))*IF(ISNUMBER(FIND("Sub-bacia modelada:",INDIRECT("'"&amp;B81&amp;"'!A1:A1000"))),1,9999),RESUMO!A81)</f>
        <v>89</v>
      </c>
      <c r="I81">
        <f t="shared" ca="1" si="9"/>
        <v>92</v>
      </c>
      <c r="J81">
        <f t="shared" ca="1" si="10"/>
        <v>99</v>
      </c>
      <c r="K81">
        <f t="shared" ca="1" si="11"/>
        <v>4</v>
      </c>
      <c r="L81">
        <f ca="1">COUNTIF($F$1:F81,F81)</f>
        <v>2</v>
      </c>
      <c r="M81" cm="1">
        <f t="array" aca="1" ref="M81" ca="1">IF(Tabela2[[#This Row],[TIPO]]&lt;&gt;"BASE - POSTO FLU",_xlfn.XLOOKUP(Tabela2[[#This Row],[SUBBACIA]],INDIRECT("'"&amp;Tabela2[[#This Row],[MODELO]]&amp;"'!B1:B5000"),INDIRECT("'"&amp;Tabela2[[#This Row],[MODELO]]&amp;"'!A1:A5000")),"")</f>
        <v>78</v>
      </c>
      <c r="N81" t="str" cm="1">
        <f t="array" aca="1" ref="N8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81" t="str" cm="1">
        <f t="array" aca="1" ref="O8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82" spans="1:15" x14ac:dyDescent="0.25">
      <c r="A82">
        <f t="shared" ca="1" si="13"/>
        <v>5</v>
      </c>
      <c r="B82" t="s">
        <v>262</v>
      </c>
      <c r="C82" t="s">
        <v>263</v>
      </c>
      <c r="D82" t="s">
        <v>264</v>
      </c>
      <c r="E82" t="str" cm="1">
        <f t="array" aca="1" ref="E82" ca="1">IF(K82=0,F82,TRIM(OFFSET(INDIRECT("'"&amp;B82&amp;"'!A1"),I82+L82,1)))</f>
        <v>Salto Santiago</v>
      </c>
      <c r="F82" t="str" cm="1">
        <f t="array" aca="1" ref="F82" ca="1">TRIM(SUBSTITUTE(INDEX(INDIRECT("'"&amp;B82&amp;"'!A1:A1000"),H82),"Sub-bacia modelada:",""))</f>
        <v>Baixo Iguaçu</v>
      </c>
      <c r="G82" t="str">
        <f t="shared" ca="1" si="12"/>
        <v>NÃO BASE</v>
      </c>
      <c r="H82" cm="1">
        <f t="array" aca="1" ref="H82" ca="1">SMALL(ROW(INDIRECT("'"&amp;B82&amp;"'!A1:A1000"))*IF(ISNUMBER(FIND("Sub-bacia modelada:",INDIRECT("'"&amp;B82&amp;"'!A1:A1000"))),1,9999),RESUMO!A82)</f>
        <v>89</v>
      </c>
      <c r="I82">
        <f t="shared" ca="1" si="9"/>
        <v>92</v>
      </c>
      <c r="J82">
        <f t="shared" ca="1" si="10"/>
        <v>99</v>
      </c>
      <c r="K82">
        <f t="shared" ca="1" si="11"/>
        <v>4</v>
      </c>
      <c r="L82">
        <f ca="1">COUNTIF($F$1:F82,F82)</f>
        <v>3</v>
      </c>
      <c r="M82" cm="1">
        <f t="array" aca="1" ref="M82" ca="1">IF(Tabela2[[#This Row],[TIPO]]&lt;&gt;"BASE - POSTO FLU",_xlfn.XLOOKUP(Tabela2[[#This Row],[SUBBACIA]],INDIRECT("'"&amp;Tabela2[[#This Row],[MODELO]]&amp;"'!B1:B5000"),INDIRECT("'"&amp;Tabela2[[#This Row],[MODELO]]&amp;"'!A1:A5000")),"")</f>
        <v>77</v>
      </c>
      <c r="N82" t="str" cm="1">
        <f t="array" aca="1" ref="N8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82" t="str" cm="1">
        <f t="array" aca="1" ref="O8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83" spans="1:15" x14ac:dyDescent="0.25">
      <c r="A83">
        <f t="shared" ca="1" si="13"/>
        <v>5</v>
      </c>
      <c r="B83" t="s">
        <v>262</v>
      </c>
      <c r="C83" t="s">
        <v>263</v>
      </c>
      <c r="D83" t="s">
        <v>264</v>
      </c>
      <c r="E83" t="str" cm="1">
        <f t="array" aca="1" ref="E83" ca="1">IF(K83=0,F83,TRIM(OFFSET(INDIRECT("'"&amp;B83&amp;"'!A1"),I83+L83,1)))</f>
        <v>Baixo Iguaçu</v>
      </c>
      <c r="F83" t="str" cm="1">
        <f t="array" aca="1" ref="F83" ca="1">TRIM(SUBSTITUTE(INDEX(INDIRECT("'"&amp;B83&amp;"'!A1:A1000"),H83),"Sub-bacia modelada:",""))</f>
        <v>Baixo Iguaçu</v>
      </c>
      <c r="G83" t="str">
        <f t="shared" ca="1" si="12"/>
        <v>BASE - RESERVATÓRIO</v>
      </c>
      <c r="H83" cm="1">
        <f t="array" aca="1" ref="H83" ca="1">SMALL(ROW(INDIRECT("'"&amp;B83&amp;"'!A1:A1000"))*IF(ISNUMBER(FIND("Sub-bacia modelada:",INDIRECT("'"&amp;B83&amp;"'!A1:A1000"))),1,9999),RESUMO!A83)</f>
        <v>89</v>
      </c>
      <c r="I83">
        <f t="shared" ca="1" si="9"/>
        <v>92</v>
      </c>
      <c r="J83">
        <f t="shared" ca="1" si="10"/>
        <v>99</v>
      </c>
      <c r="K83">
        <f t="shared" ca="1" si="11"/>
        <v>4</v>
      </c>
      <c r="L83">
        <f ca="1">COUNTIF($F$1:F83,F83)</f>
        <v>4</v>
      </c>
      <c r="M83" cm="1">
        <f t="array" aca="1" ref="M83" ca="1">IF(Tabela2[[#This Row],[TIPO]]&lt;&gt;"BASE - POSTO FLU",_xlfn.XLOOKUP(Tabela2[[#This Row],[SUBBACIA]],INDIRECT("'"&amp;Tabela2[[#This Row],[MODELO]]&amp;"'!B1:B5000"),INDIRECT("'"&amp;Tabela2[[#This Row],[MODELO]]&amp;"'!A1:A5000")),"")</f>
        <v>81</v>
      </c>
      <c r="N83" t="str" cm="1">
        <f t="array" aca="1" ref="N8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83" t="str" cm="1">
        <f t="array" aca="1" ref="O8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PSATBIGU </v>
      </c>
    </row>
    <row r="84" spans="1:15" x14ac:dyDescent="0.25">
      <c r="A84">
        <f t="shared" ca="1" si="13"/>
        <v>6</v>
      </c>
      <c r="B84" t="s">
        <v>262</v>
      </c>
      <c r="C84" t="s">
        <v>263</v>
      </c>
      <c r="D84" t="s">
        <v>265</v>
      </c>
      <c r="E84" t="str" cm="1">
        <f t="array" aca="1" ref="E84" ca="1">IF(K84=0,F84,TRIM(OFFSET(INDIRECT("'"&amp;B84&amp;"'!A1"),I84+L84,1)))</f>
        <v>Barra Grande</v>
      </c>
      <c r="F84" t="str" cm="1">
        <f t="array" aca="1" ref="F84" ca="1">TRIM(SUBSTITUTE(INDEX(INDIRECT("'"&amp;B84&amp;"'!A1:A1000"),H84),"Sub-bacia modelada:",""))</f>
        <v>Barra Grande</v>
      </c>
      <c r="G84" t="str">
        <f t="shared" ca="1" si="12"/>
        <v>BASE - RESERVATÓRIO</v>
      </c>
      <c r="H84" cm="1">
        <f t="array" aca="1" ref="H84" ca="1">SMALL(ROW(INDIRECT("'"&amp;B84&amp;"'!A1:A1000"))*IF(ISNUMBER(FIND("Sub-bacia modelada:",INDIRECT("'"&amp;B84&amp;"'!A1:A1000"))),1,9999),RESUMO!A84)</f>
        <v>113</v>
      </c>
      <c r="I84">
        <f t="shared" ca="1" si="9"/>
        <v>116</v>
      </c>
      <c r="J84">
        <f t="shared" ca="1" si="10"/>
        <v>120</v>
      </c>
      <c r="K84">
        <f t="shared" ca="1" si="11"/>
        <v>1</v>
      </c>
      <c r="L84">
        <f ca="1">COUNTIF($F$1:F84,F84)</f>
        <v>1</v>
      </c>
      <c r="M84" cm="1">
        <f t="array" aca="1" ref="M84" ca="1">IF(Tabela2[[#This Row],[TIPO]]&lt;&gt;"BASE - POSTO FLU",_xlfn.XLOOKUP(Tabela2[[#This Row],[SUBBACIA]],INDIRECT("'"&amp;Tabela2[[#This Row],[MODELO]]&amp;"'!B1:B5000"),INDIRECT("'"&amp;Tabela2[[#This Row],[MODELO]]&amp;"'!A1:A5000")),"")</f>
        <v>215</v>
      </c>
      <c r="N84" t="str" cm="1">
        <f t="array" aca="1" ref="N8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84" t="str" cm="1">
        <f t="array" aca="1" ref="O8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PSATBGR</v>
      </c>
    </row>
    <row r="85" spans="1:15" x14ac:dyDescent="0.25">
      <c r="A85">
        <f t="shared" ca="1" si="13"/>
        <v>7</v>
      </c>
      <c r="B85" t="s">
        <v>262</v>
      </c>
      <c r="C85" t="s">
        <v>263</v>
      </c>
      <c r="D85" t="s">
        <v>265</v>
      </c>
      <c r="E85" t="str" cm="1">
        <f t="array" aca="1" ref="E85" ca="1">IF(K85=0,F85,TRIM(OFFSET(INDIRECT("'"&amp;B85&amp;"'!A1"),I85+L85,1)))</f>
        <v>São Roque</v>
      </c>
      <c r="F85" t="str" cm="1">
        <f t="array" aca="1" ref="F85" ca="1">TRIM(SUBSTITUTE(INDEX(INDIRECT("'"&amp;B85&amp;"'!A1:A1000"),H85),"Sub-bacia modelada:",""))</f>
        <v>Campos Novos</v>
      </c>
      <c r="G85" t="str">
        <f t="shared" ca="1" si="12"/>
        <v>NÃO BASE</v>
      </c>
      <c r="H85" cm="1">
        <f t="array" aca="1" ref="H85" ca="1">SMALL(ROW(INDIRECT("'"&amp;B85&amp;"'!A1:A1000"))*IF(ISNUMBER(FIND("Sub-bacia modelada:",INDIRECT("'"&amp;B85&amp;"'!A1:A1000"))),1,9999),RESUMO!A85)</f>
        <v>134</v>
      </c>
      <c r="I85">
        <f t="shared" ca="1" si="9"/>
        <v>137</v>
      </c>
      <c r="J85">
        <f t="shared" ca="1" si="10"/>
        <v>143</v>
      </c>
      <c r="K85">
        <f t="shared" ca="1" si="11"/>
        <v>3</v>
      </c>
      <c r="L85">
        <f ca="1">COUNTIF($F$1:F85,F85)</f>
        <v>1</v>
      </c>
      <c r="M85" cm="1">
        <f t="array" aca="1" ref="M85" ca="1">IF(Tabela2[[#This Row],[TIPO]]&lt;&gt;"BASE - POSTO FLU",_xlfn.XLOOKUP(Tabela2[[#This Row],[SUBBACIA]],INDIRECT("'"&amp;Tabela2[[#This Row],[MODELO]]&amp;"'!B1:B5000"),INDIRECT("'"&amp;Tabela2[[#This Row],[MODELO]]&amp;"'!A1:A5000")),"")</f>
        <v>88</v>
      </c>
      <c r="N85" t="str" cm="1">
        <f t="array" aca="1" ref="N8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85" t="str" cm="1">
        <f t="array" aca="1" ref="O8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86" spans="1:15" x14ac:dyDescent="0.25">
      <c r="A86">
        <f t="shared" ca="1" si="13"/>
        <v>7</v>
      </c>
      <c r="B86" t="s">
        <v>262</v>
      </c>
      <c r="C86" t="s">
        <v>263</v>
      </c>
      <c r="D86" t="s">
        <v>265</v>
      </c>
      <c r="E86" t="str" cm="1">
        <f t="array" aca="1" ref="E86" ca="1">IF(K86=0,F86,TRIM(OFFSET(INDIRECT("'"&amp;B86&amp;"'!A1"),I86+L86,1)))</f>
        <v>Garibaldi</v>
      </c>
      <c r="F86" t="str" cm="1">
        <f t="array" aca="1" ref="F86" ca="1">TRIM(SUBSTITUTE(INDEX(INDIRECT("'"&amp;B86&amp;"'!A1:A1000"),H86),"Sub-bacia modelada:",""))</f>
        <v>Campos Novos</v>
      </c>
      <c r="G86" t="str">
        <f ca="1">IF(K86=0,"BASE - POSTO FLU",IF(OR(E86=F86,K86=1),"BASE - RESERVATÓRIO","NÃO BASE"))</f>
        <v>NÃO BASE</v>
      </c>
      <c r="H86" cm="1">
        <f t="array" aca="1" ref="H86" ca="1">SMALL(ROW(INDIRECT("'"&amp;B86&amp;"'!A1:A1000"))*IF(ISNUMBER(FIND("Sub-bacia modelada:",INDIRECT("'"&amp;B86&amp;"'!A1:A1000"))),1,9999),RESUMO!A86)</f>
        <v>134</v>
      </c>
      <c r="I86">
        <f ca="1">MATCH("Código",INDIRECT("'"&amp;B86&amp;"'!A"&amp;H86&amp;":A"&amp;H86+20),0)+H86-1</f>
        <v>137</v>
      </c>
      <c r="J86">
        <f ca="1">MATCH("Código",INDIRECT("'"&amp;B86&amp;"'!A"&amp;I86+1&amp;":A"&amp;H86+20),0)+I86</f>
        <v>143</v>
      </c>
      <c r="K86">
        <f ca="1">COUNT(INDIRECT("'"&amp;B86&amp;"'!A"&amp;I86&amp;":A"&amp;J86))</f>
        <v>3</v>
      </c>
      <c r="L86">
        <f ca="1">COUNTIF($F$1:F86,F86)</f>
        <v>2</v>
      </c>
      <c r="M86" cm="1">
        <f t="array" aca="1" ref="M86" ca="1">IF(Tabela2[[#This Row],[TIPO]]&lt;&gt;"BASE - POSTO FLU",_xlfn.XLOOKUP(Tabela2[[#This Row],[SUBBACIA]],INDIRECT("'"&amp;Tabela2[[#This Row],[MODELO]]&amp;"'!B1:B5000"),INDIRECT("'"&amp;Tabela2[[#This Row],[MODELO]]&amp;"'!A1:A5000")),"")</f>
        <v>89</v>
      </c>
      <c r="N86" t="str" cm="1">
        <f t="array" aca="1" ref="N8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86" t="str" cm="1">
        <f t="array" aca="1" ref="O8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87" spans="1:15" x14ac:dyDescent="0.25">
      <c r="A87">
        <f t="shared" ca="1" si="13"/>
        <v>7</v>
      </c>
      <c r="B87" t="s">
        <v>262</v>
      </c>
      <c r="C87" t="s">
        <v>263</v>
      </c>
      <c r="D87" t="s">
        <v>265</v>
      </c>
      <c r="E87" t="str" cm="1">
        <f t="array" aca="1" ref="E87" ca="1">IF(K87=0,F87,TRIM(OFFSET(INDIRECT("'"&amp;B87&amp;"'!A1"),I87+L87,1)))</f>
        <v>Campos Novos</v>
      </c>
      <c r="F87" t="str" cm="1">
        <f t="array" aca="1" ref="F87" ca="1">TRIM(SUBSTITUTE(INDEX(INDIRECT("'"&amp;B87&amp;"'!A1:A1000"),H87),"Sub-bacia modelada:",""))</f>
        <v>Campos Novos</v>
      </c>
      <c r="G87" t="str">
        <f t="shared" ca="1" si="12"/>
        <v>BASE - RESERVATÓRIO</v>
      </c>
      <c r="H87" cm="1">
        <f t="array" aca="1" ref="H87" ca="1">SMALL(ROW(INDIRECT("'"&amp;B87&amp;"'!A1:A1000"))*IF(ISNUMBER(FIND("Sub-bacia modelada:",INDIRECT("'"&amp;B87&amp;"'!A1:A1000"))),1,9999),RESUMO!A87)</f>
        <v>134</v>
      </c>
      <c r="I87">
        <f t="shared" ca="1" si="9"/>
        <v>137</v>
      </c>
      <c r="J87">
        <f t="shared" ca="1" si="10"/>
        <v>143</v>
      </c>
      <c r="K87">
        <f t="shared" ca="1" si="11"/>
        <v>3</v>
      </c>
      <c r="L87">
        <f ca="1">COUNTIF($F$1:F87,F87)</f>
        <v>3</v>
      </c>
      <c r="M87" cm="1">
        <f t="array" aca="1" ref="M87" ca="1">IF(Tabela2[[#This Row],[TIPO]]&lt;&gt;"BASE - POSTO FLU",_xlfn.XLOOKUP(Tabela2[[#This Row],[SUBBACIA]],INDIRECT("'"&amp;Tabela2[[#This Row],[MODELO]]&amp;"'!B1:B5000"),INDIRECT("'"&amp;Tabela2[[#This Row],[MODELO]]&amp;"'!A1:A5000")),"")</f>
        <v>216</v>
      </c>
      <c r="N87" t="str" cm="1">
        <f t="array" aca="1" ref="N8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87" t="str" cm="1">
        <f t="array" aca="1" ref="O8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PSATCNV</v>
      </c>
    </row>
    <row r="88" spans="1:15" x14ac:dyDescent="0.25">
      <c r="A88">
        <f t="shared" ca="1" si="13"/>
        <v>8</v>
      </c>
      <c r="B88" t="s">
        <v>262</v>
      </c>
      <c r="C88" t="s">
        <v>263</v>
      </c>
      <c r="D88" t="s">
        <v>265</v>
      </c>
      <c r="E88" t="str" cm="1">
        <f t="array" aca="1" ref="E88" ca="1">IF(K88=0,F88,TRIM(OFFSET(INDIRECT("'"&amp;B88&amp;"'!A1"),I88+L88,1)))</f>
        <v>Machadinho</v>
      </c>
      <c r="F88" t="str" cm="1">
        <f t="array" aca="1" ref="F88" ca="1">TRIM(SUBSTITUTE(INDEX(INDIRECT("'"&amp;B88&amp;"'!A1:A1000"),H88),"Sub-bacia modelada:",""))</f>
        <v>Machadinho</v>
      </c>
      <c r="G88" t="str">
        <f t="shared" ca="1" si="12"/>
        <v>BASE - RESERVATÓRIO</v>
      </c>
      <c r="H88" cm="1">
        <f t="array" aca="1" ref="H88" ca="1">SMALL(ROW(INDIRECT("'"&amp;B88&amp;"'!A1:A1000"))*IF(ISNUMBER(FIND("Sub-bacia modelada:",INDIRECT("'"&amp;B88&amp;"'!A1:A1000"))),1,9999),RESUMO!A88)</f>
        <v>157</v>
      </c>
      <c r="I88">
        <f t="shared" ca="1" si="9"/>
        <v>160</v>
      </c>
      <c r="J88">
        <f t="shared" ca="1" si="10"/>
        <v>164</v>
      </c>
      <c r="K88">
        <f t="shared" ca="1" si="11"/>
        <v>1</v>
      </c>
      <c r="L88">
        <f ca="1">COUNTIF($F$1:F88,F88)</f>
        <v>1</v>
      </c>
      <c r="M88" cm="1">
        <f t="array" aca="1" ref="M88" ca="1">IF(Tabela2[[#This Row],[TIPO]]&lt;&gt;"BASE - POSTO FLU",_xlfn.XLOOKUP(Tabela2[[#This Row],[SUBBACIA]],INDIRECT("'"&amp;Tabela2[[#This Row],[MODELO]]&amp;"'!B1:B5000"),INDIRECT("'"&amp;Tabela2[[#This Row],[MODELO]]&amp;"'!A1:A5000")),"")</f>
        <v>217</v>
      </c>
      <c r="N88" t="str" cm="1">
        <f t="array" aca="1" ref="N8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88" t="str" cm="1">
        <f t="array" aca="1" ref="O8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PSATMCD</v>
      </c>
    </row>
    <row r="89" spans="1:15" x14ac:dyDescent="0.25">
      <c r="A89">
        <f t="shared" ca="1" si="13"/>
        <v>9</v>
      </c>
      <c r="B89" t="s">
        <v>262</v>
      </c>
      <c r="C89" t="s">
        <v>263</v>
      </c>
      <c r="D89" t="s">
        <v>265</v>
      </c>
      <c r="E89" t="str" cm="1">
        <f t="array" aca="1" ref="E89" ca="1">IF(K89=0,F89,TRIM(OFFSET(INDIRECT("'"&amp;B89&amp;"'!A1"),I89+L89,1)))</f>
        <v>Itá</v>
      </c>
      <c r="F89" t="str" cm="1">
        <f t="array" aca="1" ref="F89" ca="1">TRIM(SUBSTITUTE(INDEX(INDIRECT("'"&amp;B89&amp;"'!A1:A1000"),H89),"Sub-bacia modelada:",""))</f>
        <v>Itá</v>
      </c>
      <c r="G89" t="str">
        <f t="shared" ca="1" si="12"/>
        <v>BASE - RESERVATÓRIO</v>
      </c>
      <c r="H89" cm="1">
        <f t="array" aca="1" ref="H89" ca="1">SMALL(ROW(INDIRECT("'"&amp;B89&amp;"'!A1:A1000"))*IF(ISNUMBER(FIND("Sub-bacia modelada:",INDIRECT("'"&amp;B89&amp;"'!A1:A1000"))),1,9999),RESUMO!A89)</f>
        <v>178</v>
      </c>
      <c r="I89">
        <f t="shared" ca="1" si="9"/>
        <v>181</v>
      </c>
      <c r="J89">
        <f t="shared" ca="1" si="10"/>
        <v>185</v>
      </c>
      <c r="K89">
        <f t="shared" ca="1" si="11"/>
        <v>1</v>
      </c>
      <c r="L89">
        <f ca="1">COUNTIF($F$1:F89,F89)</f>
        <v>1</v>
      </c>
      <c r="M89" cm="1">
        <f t="array" aca="1" ref="M89" ca="1">IF(Tabela2[[#This Row],[TIPO]]&lt;&gt;"BASE - POSTO FLU",_xlfn.XLOOKUP(Tabela2[[#This Row],[SUBBACIA]],INDIRECT("'"&amp;Tabela2[[#This Row],[MODELO]]&amp;"'!B1:B5000"),INDIRECT("'"&amp;Tabela2[[#This Row],[MODELO]]&amp;"'!A1:A5000")),"")</f>
        <v>92</v>
      </c>
      <c r="N89" t="str" cm="1">
        <f t="array" aca="1" ref="N8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89" t="str" cm="1">
        <f t="array" aca="1" ref="O8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PSATITA</v>
      </c>
    </row>
    <row r="90" spans="1:15" x14ac:dyDescent="0.25">
      <c r="A90">
        <f t="shared" ca="1" si="13"/>
        <v>10</v>
      </c>
      <c r="B90" t="s">
        <v>262</v>
      </c>
      <c r="C90" t="s">
        <v>263</v>
      </c>
      <c r="D90" t="s">
        <v>265</v>
      </c>
      <c r="E90" t="str" cm="1">
        <f t="array" aca="1" ref="E90" ca="1">IF(K90=0,F90,TRIM(OFFSET(INDIRECT("'"&amp;B90&amp;"'!A1"),I90+L90,1)))</f>
        <v>Monjolinho</v>
      </c>
      <c r="F90" t="str" cm="1">
        <f t="array" aca="1" ref="F90" ca="1">TRIM(SUBSTITUTE(INDEX(INDIRECT("'"&amp;B90&amp;"'!A1:A1000"),H90),"Sub-bacia modelada:",""))</f>
        <v>Monjolinho</v>
      </c>
      <c r="G90" t="str">
        <f t="shared" ca="1" si="12"/>
        <v>BASE - RESERVATÓRIO</v>
      </c>
      <c r="H90" cm="1">
        <f t="array" aca="1" ref="H90" ca="1">SMALL(ROW(INDIRECT("'"&amp;B90&amp;"'!A1:A1000"))*IF(ISNUMBER(FIND("Sub-bacia modelada:",INDIRECT("'"&amp;B90&amp;"'!A1:A1000"))),1,9999),RESUMO!A90)</f>
        <v>199</v>
      </c>
      <c r="I90">
        <f t="shared" ca="1" si="9"/>
        <v>202</v>
      </c>
      <c r="J90">
        <f t="shared" ca="1" si="10"/>
        <v>207</v>
      </c>
      <c r="K90">
        <f t="shared" ca="1" si="11"/>
        <v>2</v>
      </c>
      <c r="L90">
        <f ca="1">COUNTIF($F$1:F90,F90)</f>
        <v>1</v>
      </c>
      <c r="M90" cm="1">
        <f t="array" aca="1" ref="M90" ca="1">IF(Tabela2[[#This Row],[TIPO]]&lt;&gt;"BASE - POSTO FLU",_xlfn.XLOOKUP(Tabela2[[#This Row],[SUBBACIA]],INDIRECT("'"&amp;Tabela2[[#This Row],[MODELO]]&amp;"'!B1:B5000"),INDIRECT("'"&amp;Tabela2[[#This Row],[MODELO]]&amp;"'!A1:A5000")),"")</f>
        <v>220</v>
      </c>
      <c r="N90" t="str" cm="1">
        <f t="array" aca="1" ref="N9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0" t="str" cm="1">
        <f t="array" aca="1" ref="O9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PSATMOJ</v>
      </c>
    </row>
    <row r="91" spans="1:15" x14ac:dyDescent="0.25">
      <c r="A91">
        <f t="shared" ca="1" si="13"/>
        <v>10</v>
      </c>
      <c r="B91" t="s">
        <v>262</v>
      </c>
      <c r="C91" t="s">
        <v>263</v>
      </c>
      <c r="D91" t="s">
        <v>265</v>
      </c>
      <c r="E91" t="str" cm="1">
        <f t="array" aca="1" ref="E91" ca="1">IF(K91=0,F91,TRIM(OFFSET(INDIRECT("'"&amp;B91&amp;"'!A1"),I91+L91,1)))</f>
        <v>Passo Fundo</v>
      </c>
      <c r="F91" t="str" cm="1">
        <f t="array" aca="1" ref="F91" ca="1">TRIM(SUBSTITUTE(INDEX(INDIRECT("'"&amp;B91&amp;"'!A1:A1000"),H91),"Sub-bacia modelada:",""))</f>
        <v>Monjolinho</v>
      </c>
      <c r="G91" t="str">
        <f t="shared" ca="1" si="12"/>
        <v>NÃO BASE</v>
      </c>
      <c r="H91" cm="1">
        <f t="array" aca="1" ref="H91" ca="1">SMALL(ROW(INDIRECT("'"&amp;B91&amp;"'!A1:A1000"))*IF(ISNUMBER(FIND("Sub-bacia modelada:",INDIRECT("'"&amp;B91&amp;"'!A1:A1000"))),1,9999),RESUMO!A91)</f>
        <v>199</v>
      </c>
      <c r="I91">
        <f t="shared" ca="1" si="9"/>
        <v>202</v>
      </c>
      <c r="J91">
        <f t="shared" ca="1" si="10"/>
        <v>207</v>
      </c>
      <c r="K91">
        <f t="shared" ca="1" si="11"/>
        <v>2</v>
      </c>
      <c r="L91">
        <f ca="1">COUNTIF($F$1:F91,F91)</f>
        <v>2</v>
      </c>
      <c r="M91" cm="1">
        <f t="array" aca="1" ref="M91" ca="1">IF(Tabela2[[#This Row],[TIPO]]&lt;&gt;"BASE - POSTO FLU",_xlfn.XLOOKUP(Tabela2[[#This Row],[SUBBACIA]],INDIRECT("'"&amp;Tabela2[[#This Row],[MODELO]]&amp;"'!B1:B5000"),INDIRECT("'"&amp;Tabela2[[#This Row],[MODELO]]&amp;"'!A1:A5000")),"")</f>
        <v>93</v>
      </c>
      <c r="N91" t="str" cm="1">
        <f t="array" aca="1" ref="N9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1" t="str" cm="1">
        <f t="array" aca="1" ref="O9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92" spans="1:15" x14ac:dyDescent="0.25">
      <c r="A92">
        <f t="shared" ca="1" si="13"/>
        <v>11</v>
      </c>
      <c r="B92" t="s">
        <v>262</v>
      </c>
      <c r="C92" t="s">
        <v>263</v>
      </c>
      <c r="D92" t="s">
        <v>265</v>
      </c>
      <c r="E92" t="str" cm="1">
        <f t="array" aca="1" ref="E92" ca="1">IF(K92=0,F92,TRIM(OFFSET(INDIRECT("'"&amp;B92&amp;"'!A1"),I92+L92,1)))</f>
        <v>Foz Chapeco</v>
      </c>
      <c r="F92" t="str" cm="1">
        <f t="array" aca="1" ref="F92" ca="1">TRIM(SUBSTITUTE(INDEX(INDIRECT("'"&amp;B92&amp;"'!A1:A1000"),H92),"Sub-bacia modelada:",""))</f>
        <v>Foz do Chapeco</v>
      </c>
      <c r="G92" t="str">
        <f t="shared" ca="1" si="12"/>
        <v>BASE - RESERVATÓRIO</v>
      </c>
      <c r="H92" cm="1">
        <f t="array" aca="1" ref="H92" ca="1">SMALL(ROW(INDIRECT("'"&amp;B92&amp;"'!A1:A1000"))*IF(ISNUMBER(FIND("Sub-bacia modelada:",INDIRECT("'"&amp;B92&amp;"'!A1:A1000"))),1,9999),RESUMO!A92)</f>
        <v>221</v>
      </c>
      <c r="I92">
        <f t="shared" ca="1" si="9"/>
        <v>224</v>
      </c>
      <c r="J92">
        <f t="shared" ca="1" si="10"/>
        <v>228</v>
      </c>
      <c r="K92">
        <f t="shared" ca="1" si="11"/>
        <v>1</v>
      </c>
      <c r="L92">
        <f ca="1">COUNTIF($F$1:F92,F92)</f>
        <v>1</v>
      </c>
      <c r="M92" cm="1">
        <f t="array" aca="1" ref="M92" ca="1">IF(Tabela2[[#This Row],[TIPO]]&lt;&gt;"BASE - POSTO FLU",_xlfn.XLOOKUP(Tabela2[[#This Row],[SUBBACIA]],INDIRECT("'"&amp;Tabela2[[#This Row],[MODELO]]&amp;"'!B1:B5000"),INDIRECT("'"&amp;Tabela2[[#This Row],[MODELO]]&amp;"'!A1:A5000")),"")</f>
        <v>94</v>
      </c>
      <c r="N92" t="str" cm="1">
        <f t="array" aca="1" ref="N9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2" t="str" cm="1">
        <f t="array" aca="1" ref="O9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PSATFCH</v>
      </c>
    </row>
    <row r="93" spans="1:15" x14ac:dyDescent="0.25">
      <c r="A93">
        <f t="shared" ca="1" si="13"/>
        <v>12</v>
      </c>
      <c r="B93" t="s">
        <v>262</v>
      </c>
      <c r="C93" t="s">
        <v>263</v>
      </c>
      <c r="D93" t="s">
        <v>265</v>
      </c>
      <c r="E93" t="str" cm="1">
        <f t="array" aca="1" ref="E93" ca="1">IF(K93=0,F93,TRIM(OFFSET(INDIRECT("'"&amp;B93&amp;"'!A1"),I93+L93,1)))</f>
        <v>Quebra Queixo</v>
      </c>
      <c r="F93" t="str" cm="1">
        <f t="array" aca="1" ref="F93" ca="1">TRIM(SUBSTITUTE(INDEX(INDIRECT("'"&amp;B93&amp;"'!A1:A1000"),H93),"Sub-bacia modelada:",""))</f>
        <v>Quebra Queixo</v>
      </c>
      <c r="G93" t="str">
        <f t="shared" ca="1" si="12"/>
        <v>BASE - RESERVATÓRIO</v>
      </c>
      <c r="H93" cm="1">
        <f t="array" aca="1" ref="H93" ca="1">SMALL(ROW(INDIRECT("'"&amp;B93&amp;"'!A1:A1000"))*IF(ISNUMBER(FIND("Sub-bacia modelada:",INDIRECT("'"&amp;B93&amp;"'!A1:A1000"))),1,9999),RESUMO!A93)</f>
        <v>242</v>
      </c>
      <c r="I93">
        <f t="shared" ca="1" si="9"/>
        <v>245</v>
      </c>
      <c r="J93">
        <f t="shared" ca="1" si="10"/>
        <v>249</v>
      </c>
      <c r="K93">
        <f t="shared" ca="1" si="11"/>
        <v>1</v>
      </c>
      <c r="L93">
        <f ca="1">COUNTIF($F$1:F93,F93)</f>
        <v>1</v>
      </c>
      <c r="M93" cm="1">
        <f t="array" aca="1" ref="M93" ca="1">IF(Tabela2[[#This Row],[TIPO]]&lt;&gt;"BASE - POSTO FLU",_xlfn.XLOOKUP(Tabela2[[#This Row],[SUBBACIA]],INDIRECT("'"&amp;Tabela2[[#This Row],[MODELO]]&amp;"'!B1:B5000"),INDIRECT("'"&amp;Tabela2[[#This Row],[MODELO]]&amp;"'!A1:A5000")),"")</f>
        <v>286</v>
      </c>
      <c r="N93" t="str" cm="1">
        <f t="array" aca="1" ref="N9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3" t="str" cm="1">
        <f t="array" aca="1" ref="O9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PSATQQX</v>
      </c>
    </row>
    <row r="94" spans="1:15" x14ac:dyDescent="0.25">
      <c r="A94">
        <f t="shared" ca="1" si="13"/>
        <v>13</v>
      </c>
      <c r="B94" t="s">
        <v>262</v>
      </c>
      <c r="C94" t="s">
        <v>263</v>
      </c>
      <c r="D94" t="s">
        <v>265</v>
      </c>
      <c r="E94" t="str" cm="1">
        <f t="array" aca="1" ref="E94" ca="1">IF(K94=0,F94,TRIM(OFFSET(INDIRECT("'"&amp;B94&amp;"'!A1"),I94+L94,1)))</f>
        <v>Passo São João</v>
      </c>
      <c r="F94" t="str" cm="1">
        <f t="array" aca="1" ref="F94" ca="1">TRIM(SUBSTITUTE(INDEX(INDIRECT("'"&amp;B94&amp;"'!A1:A1000"),H94),"Sub-bacia modelada:",""))</f>
        <v>Passo São João</v>
      </c>
      <c r="G94" t="str">
        <f t="shared" ca="1" si="12"/>
        <v>BASE - RESERVATÓRIO</v>
      </c>
      <c r="H94" cm="1">
        <f t="array" aca="1" ref="H94" ca="1">SMALL(ROW(INDIRECT("'"&amp;B94&amp;"'!A1:A1000"))*IF(ISNUMBER(FIND("Sub-bacia modelada:",INDIRECT("'"&amp;B94&amp;"'!A1:A1000"))),1,9999),RESUMO!A94)</f>
        <v>263</v>
      </c>
      <c r="I94">
        <f t="shared" ca="1" si="9"/>
        <v>266</v>
      </c>
      <c r="J94">
        <f t="shared" ca="1" si="10"/>
        <v>271</v>
      </c>
      <c r="K94">
        <f t="shared" ca="1" si="11"/>
        <v>2</v>
      </c>
      <c r="L94">
        <f ca="1">COUNTIF($F$1:F94,F94)</f>
        <v>1</v>
      </c>
      <c r="M94" cm="1">
        <f t="array" aca="1" ref="M94" ca="1">IF(Tabela2[[#This Row],[TIPO]]&lt;&gt;"BASE - POSTO FLU",_xlfn.XLOOKUP(Tabela2[[#This Row],[SUBBACIA]],INDIRECT("'"&amp;Tabela2[[#This Row],[MODELO]]&amp;"'!B1:B5000"),INDIRECT("'"&amp;Tabela2[[#This Row],[MODELO]]&amp;"'!A1:A5000")),"")</f>
        <v>103</v>
      </c>
      <c r="N94" t="str" cm="1">
        <f t="array" aca="1" ref="N9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4" t="str" cm="1">
        <f t="array" aca="1" ref="O9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PSATPSJ</v>
      </c>
    </row>
    <row r="95" spans="1:15" x14ac:dyDescent="0.25">
      <c r="A95">
        <f t="shared" ca="1" si="13"/>
        <v>13</v>
      </c>
      <c r="B95" t="s">
        <v>262</v>
      </c>
      <c r="C95" t="s">
        <v>263</v>
      </c>
      <c r="D95" t="s">
        <v>266</v>
      </c>
      <c r="E95" t="str" cm="1">
        <f t="array" aca="1" ref="E95" ca="1">IF(K95=0,F95,TRIM(OFFSET(INDIRECT("'"&amp;B95&amp;"'!A1"),I95+L95,1)))</f>
        <v>São José</v>
      </c>
      <c r="F95" t="str" cm="1">
        <f t="array" aca="1" ref="F95" ca="1">TRIM(SUBSTITUTE(INDEX(INDIRECT("'"&amp;B95&amp;"'!A1:A1000"),H95),"Sub-bacia modelada:",""))</f>
        <v>Passo São João</v>
      </c>
      <c r="G95" t="str">
        <f t="shared" ca="1" si="12"/>
        <v>NÃO BASE</v>
      </c>
      <c r="H95" cm="1">
        <f t="array" aca="1" ref="H95" ca="1">SMALL(ROW(INDIRECT("'"&amp;B95&amp;"'!A1:A1000"))*IF(ISNUMBER(FIND("Sub-bacia modelada:",INDIRECT("'"&amp;B95&amp;"'!A1:A1000"))),1,9999),RESUMO!A95)</f>
        <v>263</v>
      </c>
      <c r="I95">
        <f t="shared" ca="1" si="9"/>
        <v>266</v>
      </c>
      <c r="J95">
        <f t="shared" ca="1" si="10"/>
        <v>271</v>
      </c>
      <c r="K95">
        <f t="shared" ca="1" si="11"/>
        <v>2</v>
      </c>
      <c r="L95">
        <f ca="1">COUNTIF($F$1:F95,F95)</f>
        <v>2</v>
      </c>
      <c r="M95" cm="1">
        <f t="array" aca="1" ref="M95" ca="1">IF(Tabela2[[#This Row],[TIPO]]&lt;&gt;"BASE - POSTO FLU",_xlfn.XLOOKUP(Tabela2[[#This Row],[SUBBACIA]],INDIRECT("'"&amp;Tabela2[[#This Row],[MODELO]]&amp;"'!B1:B5000"),INDIRECT("'"&amp;Tabela2[[#This Row],[MODELO]]&amp;"'!A1:A5000")),"")</f>
        <v>102</v>
      </c>
      <c r="N95" t="str" cm="1">
        <f t="array" aca="1" ref="N9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5" t="str" cm="1">
        <f t="array" aca="1" ref="O9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96" spans="1:15" x14ac:dyDescent="0.25">
      <c r="A96">
        <f t="shared" ca="1" si="13"/>
        <v>14</v>
      </c>
      <c r="B96" t="s">
        <v>262</v>
      </c>
      <c r="C96" t="s">
        <v>263</v>
      </c>
      <c r="D96" t="s">
        <v>266</v>
      </c>
      <c r="E96" t="str" cm="1">
        <f t="array" aca="1" ref="E96" ca="1">IF(K96=0,F96,TRIM(OFFSET(INDIRECT("'"&amp;B96&amp;"'!A1"),I96+L96,1)))</f>
        <v>Ernestina</v>
      </c>
      <c r="F96" t="str" cm="1">
        <f t="array" aca="1" ref="F96" ca="1">TRIM(SUBSTITUTE(INDEX(INDIRECT("'"&amp;B96&amp;"'!A1:A1000"),H96),"Sub-bacia modelada:",""))</f>
        <v>Ernestina</v>
      </c>
      <c r="G96" t="str">
        <f t="shared" ca="1" si="12"/>
        <v>BASE - RESERVATÓRIO</v>
      </c>
      <c r="H96" cm="1">
        <f t="array" aca="1" ref="H96" ca="1">SMALL(ROW(INDIRECT("'"&amp;B96&amp;"'!A1:A1000"))*IF(ISNUMBER(FIND("Sub-bacia modelada:",INDIRECT("'"&amp;B96&amp;"'!A1:A1000"))),1,9999),RESUMO!A96)</f>
        <v>285</v>
      </c>
      <c r="I96">
        <f t="shared" ca="1" si="9"/>
        <v>288</v>
      </c>
      <c r="J96">
        <f t="shared" ca="1" si="10"/>
        <v>292</v>
      </c>
      <c r="K96">
        <f t="shared" ca="1" si="11"/>
        <v>1</v>
      </c>
      <c r="L96">
        <f ca="1">COUNTIF($F$1:F96,F96)</f>
        <v>1</v>
      </c>
      <c r="M96" cm="1">
        <f t="array" aca="1" ref="M96" ca="1">IF(Tabela2[[#This Row],[TIPO]]&lt;&gt;"BASE - POSTO FLU",_xlfn.XLOOKUP(Tabela2[[#This Row],[SUBBACIA]],INDIRECT("'"&amp;Tabela2[[#This Row],[MODELO]]&amp;"'!B1:B5000"),INDIRECT("'"&amp;Tabela2[[#This Row],[MODELO]]&amp;"'!A1:A5000")),"")</f>
        <v>110</v>
      </c>
      <c r="N96" t="str" cm="1">
        <f t="array" aca="1" ref="N9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6" t="str" cm="1">
        <f t="array" aca="1" ref="O9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PSATERNT</v>
      </c>
    </row>
    <row r="97" spans="1:15" x14ac:dyDescent="0.25">
      <c r="A97">
        <f t="shared" ca="1" si="13"/>
        <v>15</v>
      </c>
      <c r="B97" t="s">
        <v>262</v>
      </c>
      <c r="C97" t="s">
        <v>263</v>
      </c>
      <c r="D97" t="s">
        <v>266</v>
      </c>
      <c r="E97" t="str" cm="1">
        <f t="array" aca="1" ref="E97" ca="1">IF(K97=0,F97,TRIM(OFFSET(INDIRECT("'"&amp;B97&amp;"'!A1"),I97+L97,1)))</f>
        <v>Passo Real</v>
      </c>
      <c r="F97" t="str" cm="1">
        <f t="array" aca="1" ref="F97" ca="1">TRIM(SUBSTITUTE(INDEX(INDIRECT("'"&amp;B97&amp;"'!A1:A1000"),H97),"Sub-bacia modelada:",""))</f>
        <v>Passo Real</v>
      </c>
      <c r="G97" t="str">
        <f t="shared" ca="1" si="12"/>
        <v>BASE - RESERVATÓRIO</v>
      </c>
      <c r="H97" cm="1">
        <f t="array" aca="1" ref="H97" ca="1">SMALL(ROW(INDIRECT("'"&amp;B97&amp;"'!A1:A1000"))*IF(ISNUMBER(FIND("Sub-bacia modelada:",INDIRECT("'"&amp;B97&amp;"'!A1:A1000"))),1,9999),RESUMO!A97)</f>
        <v>306</v>
      </c>
      <c r="I97">
        <f t="shared" ca="1" si="9"/>
        <v>309</v>
      </c>
      <c r="J97">
        <f t="shared" ca="1" si="10"/>
        <v>313</v>
      </c>
      <c r="K97">
        <f t="shared" ca="1" si="11"/>
        <v>1</v>
      </c>
      <c r="L97">
        <f ca="1">COUNTIF($F$1:F97,F97)</f>
        <v>1</v>
      </c>
      <c r="M97" cm="1">
        <f t="array" aca="1" ref="M97" ca="1">IF(Tabela2[[#This Row],[TIPO]]&lt;&gt;"BASE - POSTO FLU",_xlfn.XLOOKUP(Tabela2[[#This Row],[SUBBACIA]],INDIRECT("'"&amp;Tabela2[[#This Row],[MODELO]]&amp;"'!B1:B5000"),INDIRECT("'"&amp;Tabela2[[#This Row],[MODELO]]&amp;"'!A1:A5000")),"")</f>
        <v>111</v>
      </c>
      <c r="N97" t="str" cm="1">
        <f t="array" aca="1" ref="N9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7" t="str" cm="1">
        <f t="array" aca="1" ref="O9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PSATREAL</v>
      </c>
    </row>
    <row r="98" spans="1:15" x14ac:dyDescent="0.25">
      <c r="A98">
        <f t="shared" ca="1" si="13"/>
        <v>16</v>
      </c>
      <c r="B98" t="s">
        <v>262</v>
      </c>
      <c r="C98" t="s">
        <v>263</v>
      </c>
      <c r="D98" t="s">
        <v>266</v>
      </c>
      <c r="E98" t="str" cm="1">
        <f t="array" aca="1" ref="E98" ca="1">IF(K98=0,F98,TRIM(OFFSET(INDIRECT("'"&amp;B98&amp;"'!A1"),I98+L98,1)))</f>
        <v>Jacui</v>
      </c>
      <c r="F98" t="str" cm="1">
        <f t="array" aca="1" ref="F98" ca="1">TRIM(SUBSTITUTE(INDEX(INDIRECT("'"&amp;B98&amp;"'!A1:A1000"),H98),"Sub-bacia modelada:",""))</f>
        <v>Dona Francisca</v>
      </c>
      <c r="G98" t="str">
        <f t="shared" ca="1" si="12"/>
        <v>NÃO BASE</v>
      </c>
      <c r="H98" cm="1">
        <f t="array" aca="1" ref="H98" ca="1">SMALL(ROW(INDIRECT("'"&amp;B98&amp;"'!A1:A1000"))*IF(ISNUMBER(FIND("Sub-bacia modelada:",INDIRECT("'"&amp;B98&amp;"'!A1:A1000"))),1,9999),RESUMO!A98)</f>
        <v>327</v>
      </c>
      <c r="I98">
        <f t="shared" ca="1" si="9"/>
        <v>330</v>
      </c>
      <c r="J98">
        <f t="shared" ca="1" si="10"/>
        <v>336</v>
      </c>
      <c r="K98">
        <f t="shared" ca="1" si="11"/>
        <v>3</v>
      </c>
      <c r="L98">
        <f ca="1">COUNTIF($F$1:F98,F98)</f>
        <v>1</v>
      </c>
      <c r="M98" cm="1">
        <f t="array" aca="1" ref="M98" ca="1">IF(Tabela2[[#This Row],[TIPO]]&lt;&gt;"BASE - POSTO FLU",_xlfn.XLOOKUP(Tabela2[[#This Row],[SUBBACIA]],INDIRECT("'"&amp;Tabela2[[#This Row],[MODELO]]&amp;"'!B1:B5000"),INDIRECT("'"&amp;Tabela2[[#This Row],[MODELO]]&amp;"'!A1:A5000")),"")</f>
        <v>112</v>
      </c>
      <c r="N98" t="str" cm="1">
        <f t="array" aca="1" ref="N9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8" t="str" cm="1">
        <f t="array" aca="1" ref="O9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99" spans="1:15" x14ac:dyDescent="0.25">
      <c r="A99">
        <f t="shared" ca="1" si="13"/>
        <v>16</v>
      </c>
      <c r="B99" t="s">
        <v>262</v>
      </c>
      <c r="C99" t="s">
        <v>263</v>
      </c>
      <c r="D99" t="s">
        <v>266</v>
      </c>
      <c r="E99" t="str" cm="1">
        <f t="array" aca="1" ref="E99" ca="1">IF(K99=0,F99,TRIM(OFFSET(INDIRECT("'"&amp;B99&amp;"'!A1"),I99+L99,1)))</f>
        <v>Itauba</v>
      </c>
      <c r="F99" t="str" cm="1">
        <f t="array" aca="1" ref="F99" ca="1">TRIM(SUBSTITUTE(INDEX(INDIRECT("'"&amp;B99&amp;"'!A1:A1000"),H99),"Sub-bacia modelada:",""))</f>
        <v>Dona Francisca</v>
      </c>
      <c r="G99" t="s">
        <v>256</v>
      </c>
      <c r="H99" cm="1">
        <f t="array" aca="1" ref="H99" ca="1">SMALL(ROW(INDIRECT("'"&amp;B99&amp;"'!A1:A1000"))*IF(ISNUMBER(FIND("Sub-bacia modelada:",INDIRECT("'"&amp;B99&amp;"'!A1:A1000"))),1,9999),RESUMO!A99)</f>
        <v>327</v>
      </c>
      <c r="I99">
        <f t="shared" ref="I99:I132" ca="1" si="14">MATCH("Código",INDIRECT("'"&amp;B99&amp;"'!A"&amp;H99&amp;":A"&amp;H99+20),0)+H99-1</f>
        <v>330</v>
      </c>
      <c r="J99">
        <f t="shared" ref="J99:J132" ca="1" si="15">MATCH("Código",INDIRECT("'"&amp;B99&amp;"'!A"&amp;I99+1&amp;":A"&amp;H99+20),0)+I99</f>
        <v>336</v>
      </c>
      <c r="K99">
        <f t="shared" ref="K99:K132" ca="1" si="16">COUNT(INDIRECT("'"&amp;B99&amp;"'!A"&amp;I99&amp;":A"&amp;J99))</f>
        <v>3</v>
      </c>
      <c r="L99">
        <f ca="1">COUNTIF($F$1:F99,F99)</f>
        <v>2</v>
      </c>
      <c r="M99" cm="1">
        <f t="array" aca="1" ref="M99" ca="1">IF(Tabela2[[#This Row],[TIPO]]&lt;&gt;"BASE - POSTO FLU",_xlfn.XLOOKUP(Tabela2[[#This Row],[SUBBACIA]],INDIRECT("'"&amp;Tabela2[[#This Row],[MODELO]]&amp;"'!B1:B5000"),INDIRECT("'"&amp;Tabela2[[#This Row],[MODELO]]&amp;"'!A1:A5000")),"")</f>
        <v>113</v>
      </c>
      <c r="N99" t="str" cm="1">
        <f t="array" aca="1" ref="N9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99" t="str" cm="1">
        <f t="array" aca="1" ref="O9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PSATDFRC</v>
      </c>
    </row>
    <row r="100" spans="1:15" x14ac:dyDescent="0.25">
      <c r="A100">
        <f t="shared" ca="1" si="13"/>
        <v>16</v>
      </c>
      <c r="B100" t="s">
        <v>262</v>
      </c>
      <c r="C100" t="s">
        <v>263</v>
      </c>
      <c r="D100" t="s">
        <v>266</v>
      </c>
      <c r="E100" t="str" cm="1">
        <f t="array" aca="1" ref="E100" ca="1">IF(K100=0,F100,TRIM(OFFSET(INDIRECT("'"&amp;B100&amp;"'!A1"),I100+L100,1)))</f>
        <v>D. Francisca</v>
      </c>
      <c r="F100" t="str" cm="1">
        <f t="array" aca="1" ref="F100" ca="1">TRIM(SUBSTITUTE(INDEX(INDIRECT("'"&amp;B100&amp;"'!A1:A1000"),H100),"Sub-bacia modelada:",""))</f>
        <v>Dona Francisca</v>
      </c>
      <c r="G100" t="str">
        <f t="shared" ca="1" si="12"/>
        <v>NÃO BASE</v>
      </c>
      <c r="H100" cm="1">
        <f t="array" aca="1" ref="H100" ca="1">SMALL(ROW(INDIRECT("'"&amp;B100&amp;"'!A1:A1000"))*IF(ISNUMBER(FIND("Sub-bacia modelada:",INDIRECT("'"&amp;B100&amp;"'!A1:A1000"))),1,9999),RESUMO!A100)</f>
        <v>327</v>
      </c>
      <c r="I100">
        <f t="shared" ca="1" si="14"/>
        <v>330</v>
      </c>
      <c r="J100">
        <f t="shared" ca="1" si="15"/>
        <v>336</v>
      </c>
      <c r="K100">
        <f t="shared" ca="1" si="16"/>
        <v>3</v>
      </c>
      <c r="L100">
        <f ca="1">COUNTIF($F$1:F100,F100)</f>
        <v>3</v>
      </c>
      <c r="M100" cm="1">
        <f t="array" aca="1" ref="M100" ca="1">IF(Tabela2[[#This Row],[TIPO]]&lt;&gt;"BASE - POSTO FLU",_xlfn.XLOOKUP(Tabela2[[#This Row],[SUBBACIA]],INDIRECT("'"&amp;Tabela2[[#This Row],[MODELO]]&amp;"'!B1:B5000"),INDIRECT("'"&amp;Tabela2[[#This Row],[MODELO]]&amp;"'!A1:A5000")),"")</f>
        <v>114</v>
      </c>
      <c r="N100" t="str" cm="1">
        <f t="array" aca="1" ref="N10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0" t="str" cm="1">
        <f t="array" aca="1" ref="O10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01" spans="1:15" x14ac:dyDescent="0.25">
      <c r="A101">
        <f t="shared" ca="1" si="13"/>
        <v>17</v>
      </c>
      <c r="B101" t="s">
        <v>262</v>
      </c>
      <c r="C101" t="s">
        <v>263</v>
      </c>
      <c r="D101" t="s">
        <v>266</v>
      </c>
      <c r="E101" t="str" cm="1">
        <f t="array" aca="1" ref="E101" ca="1">IF(K101=0,F101,TRIM(OFFSET(INDIRECT("'"&amp;B101&amp;"'!A1"),I101+L101,1)))</f>
        <v>Castro Alves</v>
      </c>
      <c r="F101" t="str" cm="1">
        <f t="array" aca="1" ref="F101" ca="1">TRIM(SUBSTITUTE(INDEX(INDIRECT("'"&amp;B101&amp;"'!A1:A1000"),H101),"Sub-bacia modelada:",""))</f>
        <v>Castro Alves</v>
      </c>
      <c r="G101" t="str">
        <f t="shared" ca="1" si="12"/>
        <v>BASE - RESERVATÓRIO</v>
      </c>
      <c r="H101" cm="1">
        <f t="array" aca="1" ref="H101" ca="1">SMALL(ROW(INDIRECT("'"&amp;B101&amp;"'!A1:A1000"))*IF(ISNUMBER(FIND("Sub-bacia modelada:",INDIRECT("'"&amp;B101&amp;"'!A1:A1000"))),1,9999),RESUMO!A101)</f>
        <v>350</v>
      </c>
      <c r="I101">
        <f t="shared" ca="1" si="14"/>
        <v>353</v>
      </c>
      <c r="J101">
        <f t="shared" ca="1" si="15"/>
        <v>357</v>
      </c>
      <c r="K101">
        <f t="shared" ca="1" si="16"/>
        <v>1</v>
      </c>
      <c r="L101">
        <f ca="1">COUNTIF($F$1:F101,F101)</f>
        <v>1</v>
      </c>
      <c r="M101" cm="1">
        <f t="array" aca="1" ref="M101" ca="1">IF(Tabela2[[#This Row],[TIPO]]&lt;&gt;"BASE - POSTO FLU",_xlfn.XLOOKUP(Tabela2[[#This Row],[SUBBACIA]],INDIRECT("'"&amp;Tabela2[[#This Row],[MODELO]]&amp;"'!B1:B5000"),INDIRECT("'"&amp;Tabela2[[#This Row],[MODELO]]&amp;"'!A1:A5000")),"")</f>
        <v>98</v>
      </c>
      <c r="N101" t="str" cm="1">
        <f t="array" aca="1" ref="N10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1" t="str" cm="1">
        <f t="array" aca="1" ref="O10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PSATCTAV</v>
      </c>
    </row>
    <row r="102" spans="1:15" x14ac:dyDescent="0.25">
      <c r="A102">
        <f t="shared" ca="1" si="13"/>
        <v>18</v>
      </c>
      <c r="B102" t="s">
        <v>262</v>
      </c>
      <c r="C102" t="s">
        <v>263</v>
      </c>
      <c r="D102" t="s">
        <v>266</v>
      </c>
      <c r="E102" t="str" cm="1">
        <f t="array" aca="1" ref="E102" ca="1">IF(K102=0,F102,TRIM(OFFSET(INDIRECT("'"&amp;B102&amp;"'!A1"),I102+L102,1)))</f>
        <v>Monte Claro</v>
      </c>
      <c r="F102" t="str" cm="1">
        <f t="array" aca="1" ref="F102" ca="1">TRIM(SUBSTITUTE(INDEX(INDIRECT("'"&amp;B102&amp;"'!A1:A1000"),H102),"Sub-bacia modelada:",""))</f>
        <v>14 de Julho</v>
      </c>
      <c r="G102" t="str">
        <f t="shared" ca="1" si="12"/>
        <v>NÃO BASE</v>
      </c>
      <c r="H102" cm="1">
        <f t="array" aca="1" ref="H102" ca="1">SMALL(ROW(INDIRECT("'"&amp;B102&amp;"'!A1:A1000"))*IF(ISNUMBER(FIND("Sub-bacia modelada:",INDIRECT("'"&amp;B102&amp;"'!A1:A1000"))),1,9999),RESUMO!A102)</f>
        <v>371</v>
      </c>
      <c r="I102">
        <f t="shared" ca="1" si="14"/>
        <v>374</v>
      </c>
      <c r="J102">
        <f t="shared" ca="1" si="15"/>
        <v>379</v>
      </c>
      <c r="K102">
        <f t="shared" ca="1" si="16"/>
        <v>2</v>
      </c>
      <c r="L102">
        <f ca="1">COUNTIF($F$1:F102,F102)</f>
        <v>1</v>
      </c>
      <c r="M102" cm="1">
        <f t="array" aca="1" ref="M102" ca="1">IF(Tabela2[[#This Row],[TIPO]]&lt;&gt;"BASE - POSTO FLU",_xlfn.XLOOKUP(Tabela2[[#This Row],[SUBBACIA]],INDIRECT("'"&amp;Tabela2[[#This Row],[MODELO]]&amp;"'!B1:B5000"),INDIRECT("'"&amp;Tabela2[[#This Row],[MODELO]]&amp;"'!A1:A5000")),"")</f>
        <v>97</v>
      </c>
      <c r="N102" t="str" cm="1">
        <f t="array" aca="1" ref="N10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2" t="str" cm="1">
        <f t="array" aca="1" ref="O10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03" spans="1:15" x14ac:dyDescent="0.25">
      <c r="A103">
        <f t="shared" ca="1" si="13"/>
        <v>18</v>
      </c>
      <c r="B103" t="s">
        <v>262</v>
      </c>
      <c r="C103" t="s">
        <v>263</v>
      </c>
      <c r="D103" t="s">
        <v>266</v>
      </c>
      <c r="E103" t="str" cm="1">
        <f t="array" aca="1" ref="E103" ca="1">IF(K103=0,F103,TRIM(OFFSET(INDIRECT("'"&amp;B103&amp;"'!A1"),I103+L103,1)))</f>
        <v>14 de Julho</v>
      </c>
      <c r="F103" t="str" cm="1">
        <f t="array" aca="1" ref="F103" ca="1">TRIM(SUBSTITUTE(INDEX(INDIRECT("'"&amp;B103&amp;"'!A1:A1000"),H103),"Sub-bacia modelada:",""))</f>
        <v>14 de Julho</v>
      </c>
      <c r="G103" t="str">
        <f ca="1">IF(K103=0,"BASE - POSTO FLU",IF(OR(E103=F103,K103=1),"BASE - RESERVATÓRIO","NÃO BASE"))</f>
        <v>BASE - RESERVATÓRIO</v>
      </c>
      <c r="H103" cm="1">
        <f t="array" aca="1" ref="H103" ca="1">SMALL(ROW(INDIRECT("'"&amp;B103&amp;"'!A1:A1000"))*IF(ISNUMBER(FIND("Sub-bacia modelada:",INDIRECT("'"&amp;B103&amp;"'!A1:A1000"))),1,9999),RESUMO!A103)</f>
        <v>371</v>
      </c>
      <c r="I103">
        <f ca="1">MATCH("Código",INDIRECT("'"&amp;B103&amp;"'!A"&amp;H103&amp;":A"&amp;H103+20),0)+H103-1</f>
        <v>374</v>
      </c>
      <c r="J103">
        <f ca="1">MATCH("Código",INDIRECT("'"&amp;B103&amp;"'!A"&amp;I103+1&amp;":A"&amp;H103+20),0)+I103</f>
        <v>379</v>
      </c>
      <c r="K103">
        <f ca="1">COUNT(INDIRECT("'"&amp;B103&amp;"'!A"&amp;I103&amp;":A"&amp;J103))</f>
        <v>2</v>
      </c>
      <c r="L103">
        <f ca="1">COUNTIF($F$1:F103,F103)</f>
        <v>2</v>
      </c>
      <c r="M103" cm="1">
        <f t="array" aca="1" ref="M103" ca="1">IF(Tabela2[[#This Row],[TIPO]]&lt;&gt;"BASE - POSTO FLU",_xlfn.XLOOKUP(Tabela2[[#This Row],[SUBBACIA]],INDIRECT("'"&amp;Tabela2[[#This Row],[MODELO]]&amp;"'!B1:B5000"),INDIRECT("'"&amp;Tabela2[[#This Row],[MODELO]]&amp;"'!A1:A5000")),"")</f>
        <v>284</v>
      </c>
      <c r="N103" t="str" cm="1">
        <f t="array" aca="1" ref="N10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3" t="str" cm="1">
        <f t="array" aca="1" ref="O10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PSATXIVJ</v>
      </c>
    </row>
    <row r="104" spans="1:15" x14ac:dyDescent="0.25">
      <c r="A104">
        <f t="shared" ca="1" si="13"/>
        <v>19</v>
      </c>
      <c r="B104" t="s">
        <v>262</v>
      </c>
      <c r="C104" t="s">
        <v>263</v>
      </c>
      <c r="D104" t="s">
        <v>579</v>
      </c>
      <c r="E104" t="str" cm="1">
        <f t="array" aca="1" ref="E104" ca="1">IF(K104=0,F104,TRIM(OFFSET(INDIRECT("'"&amp;B104&amp;"'!A1"),I104+L104,1)))</f>
        <v>Salto RS</v>
      </c>
      <c r="F104" t="str" cm="1">
        <f t="array" aca="1" ref="F104" ca="1">TRIM(SUBSTITUTE(INDEX(INDIRECT("'"&amp;B104&amp;"'!A1:A1000"),H104),"Sub-bacia modelada:",""))</f>
        <v>Salto RS</v>
      </c>
      <c r="G104" t="str">
        <f ca="1">IF(K104=0,"BASE - POSTO FLU",IF(OR(E104=F104,K104=1),"BASE - RESERVATÓRIO","NÃO BASE"))</f>
        <v>BASE - RESERVATÓRIO</v>
      </c>
      <c r="H104" cm="1">
        <f t="array" aca="1" ref="H104" ca="1">SMALL(ROW(INDIRECT("'"&amp;B104&amp;"'!A1:A1000"))*IF(ISNUMBER(FIND("Sub-bacia modelada:",INDIRECT("'"&amp;B104&amp;"'!A1:A1000"))),1,9999),RESUMO!A104)</f>
        <v>393</v>
      </c>
      <c r="I104">
        <f ca="1">MATCH("Código",INDIRECT("'"&amp;B104&amp;"'!A"&amp;H104&amp;":A"&amp;H104+20),0)+H104-1</f>
        <v>396</v>
      </c>
      <c r="J104">
        <f ca="1">MATCH("Código",INDIRECT("'"&amp;B104&amp;"'!A"&amp;I104+1&amp;":A"&amp;H104+20),0)+I104</f>
        <v>400</v>
      </c>
      <c r="K104">
        <f ca="1">COUNT(INDIRECT("'"&amp;B104&amp;"'!A"&amp;I104&amp;":A"&amp;J104))</f>
        <v>1</v>
      </c>
      <c r="L104">
        <f ca="1">COUNTIF($F$1:F104,F104)</f>
        <v>1</v>
      </c>
      <c r="M104" cm="1">
        <f t="array" aca="1" ref="M104" ca="1">IF(Tabela2[[#This Row],[TIPO]]&lt;&gt;"BASE - POSTO FLU",_xlfn.XLOOKUP(Tabela2[[#This Row],[SUBBACIA]],INDIRECT("'"&amp;Tabela2[[#This Row],[MODELO]]&amp;"'!B1:B5000"),INDIRECT("'"&amp;Tabela2[[#This Row],[MODELO]]&amp;"'!A1:A5000")),"")</f>
        <v>221</v>
      </c>
      <c r="N104" t="str" cm="1">
        <f t="array" aca="1" ref="N10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4" t="str" cm="1">
        <f t="array" aca="1" ref="O10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PSATSALT</v>
      </c>
    </row>
    <row r="105" spans="1:15" x14ac:dyDescent="0.25">
      <c r="A105">
        <f t="shared" ca="1" si="13"/>
        <v>20</v>
      </c>
      <c r="B105" t="s">
        <v>262</v>
      </c>
      <c r="C105" t="s">
        <v>263</v>
      </c>
      <c r="D105" t="s">
        <v>267</v>
      </c>
      <c r="E105" t="str" cm="1">
        <f t="array" aca="1" ref="E105" ca="1">IF(K105=0,F105,TRIM(OFFSET(INDIRECT("'"&amp;B105&amp;"'!A1"),I105+L105,1)))</f>
        <v>G.P.Souza</v>
      </c>
      <c r="F105" t="str" cm="1">
        <f t="array" aca="1" ref="F105" ca="1">TRIM(SUBSTITUTE(INDEX(INDIRECT("'"&amp;B105&amp;"'!A1:A1000"),H105),"Sub-bacia modelada:",""))</f>
        <v>Capivari Cachoeira</v>
      </c>
      <c r="G105" t="str">
        <f t="shared" ca="1" si="12"/>
        <v>BASE - RESERVATÓRIO</v>
      </c>
      <c r="H105" cm="1">
        <f t="array" aca="1" ref="H105" ca="1">SMALL(ROW(INDIRECT("'"&amp;B105&amp;"'!A1:A1000"))*IF(ISNUMBER(FIND("Sub-bacia modelada:",INDIRECT("'"&amp;B105&amp;"'!A1:A1000"))),1,9999),RESUMO!A105)</f>
        <v>414</v>
      </c>
      <c r="I105">
        <f t="shared" ca="1" si="14"/>
        <v>417</v>
      </c>
      <c r="J105">
        <f t="shared" ca="1" si="15"/>
        <v>421</v>
      </c>
      <c r="K105">
        <f t="shared" ca="1" si="16"/>
        <v>1</v>
      </c>
      <c r="L105">
        <f ca="1">COUNTIF($F$1:F105,F105)</f>
        <v>1</v>
      </c>
      <c r="M105" cm="1">
        <f t="array" aca="1" ref="M105" ca="1">IF(Tabela2[[#This Row],[TIPO]]&lt;&gt;"BASE - POSTO FLU",_xlfn.XLOOKUP(Tabela2[[#This Row],[SUBBACIA]],INDIRECT("'"&amp;Tabela2[[#This Row],[MODELO]]&amp;"'!B1:B5000"),INDIRECT("'"&amp;Tabela2[[#This Row],[MODELO]]&amp;"'!A1:A5000")),"")</f>
        <v>115</v>
      </c>
      <c r="N105" t="str" cm="1">
        <f t="array" aca="1" ref="N10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5" t="str" cm="1">
        <f t="array" aca="1" ref="O10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PSATCVCH</v>
      </c>
    </row>
    <row r="106" spans="1:15" x14ac:dyDescent="0.25">
      <c r="A106">
        <f t="shared" ca="1" si="13"/>
        <v>21</v>
      </c>
      <c r="B106" t="s">
        <v>262</v>
      </c>
      <c r="C106" t="s">
        <v>263</v>
      </c>
      <c r="D106" t="s">
        <v>268</v>
      </c>
      <c r="E106" t="str" cm="1">
        <f t="array" aca="1" ref="E106" ca="1">IF(K106=0,F106,TRIM(OFFSET(INDIRECT("'"&amp;B106&amp;"'!A1"),I106+L106,1)))</f>
        <v>Salto Pilão</v>
      </c>
      <c r="F106" t="str" cm="1">
        <f t="array" aca="1" ref="F106" ca="1">TRIM(SUBSTITUTE(INDEX(INDIRECT("'"&amp;B106&amp;"'!A1:A1000"),H106),"Sub-bacia modelada:",""))</f>
        <v>Salto Pilão</v>
      </c>
      <c r="G106" t="str">
        <f t="shared" ca="1" si="12"/>
        <v>BASE - RESERVATÓRIO</v>
      </c>
      <c r="H106" cm="1">
        <f t="array" aca="1" ref="H106" ca="1">SMALL(ROW(INDIRECT("'"&amp;B106&amp;"'!A1:A1000"))*IF(ISNUMBER(FIND("Sub-bacia modelada:",INDIRECT("'"&amp;B106&amp;"'!A1:A1000"))),1,9999),RESUMO!A106)</f>
        <v>435</v>
      </c>
      <c r="I106">
        <f t="shared" ca="1" si="14"/>
        <v>438</v>
      </c>
      <c r="J106">
        <f t="shared" ca="1" si="15"/>
        <v>442</v>
      </c>
      <c r="K106">
        <f t="shared" ca="1" si="16"/>
        <v>1</v>
      </c>
      <c r="L106">
        <f ca="1">COUNTIF($F$1:F106,F106)</f>
        <v>1</v>
      </c>
      <c r="M106" cm="1">
        <f t="array" aca="1" ref="M106" ca="1">IF(Tabela2[[#This Row],[TIPO]]&lt;&gt;"BASE - POSTO FLU",_xlfn.XLOOKUP(Tabela2[[#This Row],[SUBBACIA]],INDIRECT("'"&amp;Tabela2[[#This Row],[MODELO]]&amp;"'!B1:B5000"),INDIRECT("'"&amp;Tabela2[[#This Row],[MODELO]]&amp;"'!A1:A5000")),"")</f>
        <v>101</v>
      </c>
      <c r="N106" t="str" cm="1">
        <f t="array" aca="1" ref="N10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6" t="str" cm="1">
        <f t="array" aca="1" ref="O10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PSATSTPL</v>
      </c>
    </row>
    <row r="107" spans="1:15" x14ac:dyDescent="0.25">
      <c r="A107">
        <v>1</v>
      </c>
      <c r="B107" t="s">
        <v>269</v>
      </c>
      <c r="C107" t="s">
        <v>270</v>
      </c>
      <c r="D107" t="s">
        <v>82</v>
      </c>
      <c r="E107" t="str" cm="1">
        <f t="array" aca="1" ref="E107" ca="1">IF(K107=0,F107,TRIM(OFFSET(INDIRECT("'"&amp;B107&amp;"'!A1"),I107+L107,1)))</f>
        <v>Retiro Baixo</v>
      </c>
      <c r="F107" t="str" cm="1">
        <f t="array" aca="1" ref="F107" ca="1">TRIM(SUBSTITUTE(INDEX(INDIRECT("'"&amp;B107&amp;"'!A1:A1000"),H107),"Sub-bacia modelada:",""))</f>
        <v>Retiro Baixo</v>
      </c>
      <c r="G107" t="str">
        <f t="shared" ca="1" si="12"/>
        <v>BASE - RESERVATÓRIO</v>
      </c>
      <c r="H107" cm="1">
        <f t="array" aca="1" ref="H107" ca="1">SMALL(ROW(INDIRECT("'"&amp;B107&amp;"'!A1:A1000"))*IF(ISNUMBER(FIND("Sub-bacia modelada:",INDIRECT("'"&amp;B107&amp;"'!A1:A1000"))),1,9999),RESUMO!A107)</f>
        <v>2</v>
      </c>
      <c r="I107">
        <f t="shared" ca="1" si="14"/>
        <v>5</v>
      </c>
      <c r="J107">
        <f t="shared" ca="1" si="15"/>
        <v>9</v>
      </c>
      <c r="K107">
        <f t="shared" ca="1" si="16"/>
        <v>1</v>
      </c>
      <c r="L107">
        <f ca="1">COUNTIF($F$1:F107,F107)</f>
        <v>1</v>
      </c>
      <c r="M107" cm="1">
        <f t="array" aca="1" ref="M107" ca="1">IF(Tabela2[[#This Row],[TIPO]]&lt;&gt;"BASE - POSTO FLU",_xlfn.XLOOKUP(Tabela2[[#This Row],[SUBBACIA]],INDIRECT("'"&amp;Tabela2[[#This Row],[MODELO]]&amp;"'!B1:B5000"),INDIRECT("'"&amp;Tabela2[[#This Row],[MODELO]]&amp;"'!A1:A5000")),"")</f>
        <v>155</v>
      </c>
      <c r="N107" t="str" cm="1">
        <f t="array" aca="1" ref="N10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7" t="str" cm="1">
        <f t="array" aca="1" ref="O10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PSATRBX</v>
      </c>
    </row>
    <row r="108" spans="1:15" x14ac:dyDescent="0.25">
      <c r="A108">
        <f t="shared" ref="A108:A116" ca="1" si="17">IF(AND(K107&gt;1,L107&lt;&gt;K107),A107,A107+1)</f>
        <v>2</v>
      </c>
      <c r="B108" t="s">
        <v>269</v>
      </c>
      <c r="C108" t="s">
        <v>270</v>
      </c>
      <c r="D108" t="s">
        <v>82</v>
      </c>
      <c r="E108" t="str" cm="1">
        <f t="array" aca="1" ref="E108" ca="1">IF(K108=0,F108,TRIM(OFFSET(INDIRECT("'"&amp;B108&amp;"'!A1"),I108+L108,1)))</f>
        <v>Três Marias</v>
      </c>
      <c r="F108" t="str" cm="1">
        <f t="array" aca="1" ref="F108" ca="1">TRIM(SUBSTITUTE(INDEX(INDIRECT("'"&amp;B108&amp;"'!A1:A1000"),H108),"Sub-bacia modelada:",""))</f>
        <v>Três Marias</v>
      </c>
      <c r="G108" t="str">
        <f t="shared" ca="1" si="12"/>
        <v>BASE - RESERVATÓRIO</v>
      </c>
      <c r="H108" cm="1">
        <f t="array" aca="1" ref="H108" ca="1">SMALL(ROW(INDIRECT("'"&amp;B108&amp;"'!A1:A1000"))*IF(ISNUMBER(FIND("Sub-bacia modelada:",INDIRECT("'"&amp;B108&amp;"'!A1:A1000"))),1,9999),RESUMO!A108)</f>
        <v>23</v>
      </c>
      <c r="I108">
        <f t="shared" ca="1" si="14"/>
        <v>26</v>
      </c>
      <c r="J108">
        <f t="shared" ca="1" si="15"/>
        <v>30</v>
      </c>
      <c r="K108">
        <f t="shared" ca="1" si="16"/>
        <v>1</v>
      </c>
      <c r="L108">
        <f ca="1">COUNTIF($F$1:F108,F108)</f>
        <v>1</v>
      </c>
      <c r="M108" cm="1">
        <f t="array" aca="1" ref="M108" ca="1">IF(Tabela2[[#This Row],[TIPO]]&lt;&gt;"BASE - POSTO FLU",_xlfn.XLOOKUP(Tabela2[[#This Row],[SUBBACIA]],INDIRECT("'"&amp;Tabela2[[#This Row],[MODELO]]&amp;"'!B1:B5000"),INDIRECT("'"&amp;Tabela2[[#This Row],[MODELO]]&amp;"'!A1:A5000")),"")</f>
        <v>156</v>
      </c>
      <c r="N108" t="str" cm="1">
        <f t="array" aca="1" ref="N10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8" t="str" cm="1">
        <f t="array" aca="1" ref="O10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PSATTMR</v>
      </c>
    </row>
    <row r="109" spans="1:15" x14ac:dyDescent="0.25">
      <c r="A109">
        <f t="shared" ca="1" si="17"/>
        <v>3</v>
      </c>
      <c r="B109" t="s">
        <v>269</v>
      </c>
      <c r="C109" t="s">
        <v>270</v>
      </c>
      <c r="D109" t="s">
        <v>82</v>
      </c>
      <c r="E109" t="str" cm="1">
        <f t="array" aca="1" ref="E109" ca="1">IF(K109=0,F109,TRIM(OFFSET(INDIRECT("'"&amp;B109&amp;"'!A1"),I109+L109,1)))</f>
        <v>Queimado</v>
      </c>
      <c r="F109" t="str" cm="1">
        <f t="array" aca="1" ref="F109" ca="1">TRIM(SUBSTITUTE(INDEX(INDIRECT("'"&amp;B109&amp;"'!A1:A1000"),H109),"Sub-bacia modelada:",""))</f>
        <v>Queimado</v>
      </c>
      <c r="G109" t="str">
        <f t="shared" ca="1" si="12"/>
        <v>BASE - RESERVATÓRIO</v>
      </c>
      <c r="H109" cm="1">
        <f t="array" aca="1" ref="H109" ca="1">SMALL(ROW(INDIRECT("'"&amp;B109&amp;"'!A1:A1000"))*IF(ISNUMBER(FIND("Sub-bacia modelada:",INDIRECT("'"&amp;B109&amp;"'!A1:A1000"))),1,9999),RESUMO!A109)</f>
        <v>43</v>
      </c>
      <c r="I109">
        <f t="shared" ca="1" si="14"/>
        <v>46</v>
      </c>
      <c r="J109">
        <f t="shared" ca="1" si="15"/>
        <v>50</v>
      </c>
      <c r="K109">
        <f t="shared" ca="1" si="16"/>
        <v>1</v>
      </c>
      <c r="L109">
        <f ca="1">COUNTIF($F$1:F109,F109)</f>
        <v>1</v>
      </c>
      <c r="M109" cm="1">
        <f t="array" aca="1" ref="M109" ca="1">IF(Tabela2[[#This Row],[TIPO]]&lt;&gt;"BASE - POSTO FLU",_xlfn.XLOOKUP(Tabela2[[#This Row],[SUBBACIA]],INDIRECT("'"&amp;Tabela2[[#This Row],[MODELO]]&amp;"'!B1:B5000"),INDIRECT("'"&amp;Tabela2[[#This Row],[MODELO]]&amp;"'!A1:A5000")),"")</f>
        <v>158</v>
      </c>
      <c r="N109" t="str" cm="1">
        <f t="array" aca="1" ref="N10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09" t="str" cm="1">
        <f t="array" aca="1" ref="O10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PSATQMD</v>
      </c>
    </row>
    <row r="110" spans="1:15" x14ac:dyDescent="0.25">
      <c r="A110">
        <f t="shared" ca="1" si="17"/>
        <v>4</v>
      </c>
      <c r="B110" t="s">
        <v>269</v>
      </c>
      <c r="C110" t="s">
        <v>270</v>
      </c>
      <c r="D110" t="s">
        <v>82</v>
      </c>
      <c r="E110" t="str" cm="1">
        <f t="array" aca="1" ref="E110" ca="1">IF(K110=0,F110,TRIM(OFFSET(INDIRECT("'"&amp;B110&amp;"'!A1"),I110+L110,1)))</f>
        <v>São Romão</v>
      </c>
      <c r="F110" t="str" cm="1">
        <f t="array" aca="1" ref="F110" ca="1">TRIM(SUBSTITUTE(INDEX(INDIRECT("'"&amp;B110&amp;"'!A1:A1000"),H110),"Sub-bacia modelada:",""))</f>
        <v>São Romão</v>
      </c>
      <c r="G110" t="str">
        <f t="shared" ca="1" si="12"/>
        <v>BASE - POSTO FLU</v>
      </c>
      <c r="H110" cm="1">
        <f t="array" aca="1" ref="H110" ca="1">SMALL(ROW(INDIRECT("'"&amp;B110&amp;"'!A1:A1000"))*IF(ISNUMBER(FIND("Sub-bacia modelada:",INDIRECT("'"&amp;B110&amp;"'!A1:A1000"))),1,9999),RESUMO!A110)</f>
        <v>63</v>
      </c>
      <c r="I110">
        <f t="shared" ca="1" si="14"/>
        <v>66</v>
      </c>
      <c r="J110">
        <f t="shared" ca="1" si="15"/>
        <v>70</v>
      </c>
      <c r="K110">
        <f t="shared" ca="1" si="16"/>
        <v>0</v>
      </c>
      <c r="L110">
        <f ca="1">COUNTIF($F$1:F110,F110)</f>
        <v>1</v>
      </c>
      <c r="M110" t="str" cm="1">
        <f t="array" aca="1" ref="M110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110" cm="1">
        <f t="array" aca="1" ref="N11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43200000</v>
      </c>
      <c r="O110" t="str" cm="1">
        <f t="array" aca="1" ref="O11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PSATSRM</v>
      </c>
    </row>
    <row r="111" spans="1:15" x14ac:dyDescent="0.25">
      <c r="A111">
        <f t="shared" ca="1" si="17"/>
        <v>5</v>
      </c>
      <c r="B111" t="s">
        <v>269</v>
      </c>
      <c r="C111" t="s">
        <v>270</v>
      </c>
      <c r="D111" t="s">
        <v>82</v>
      </c>
      <c r="E111" t="str" cm="1">
        <f t="array" aca="1" ref="E111" ca="1">IF(K111=0,F111,TRIM(OFFSET(INDIRECT("'"&amp;B111&amp;"'!A1"),I111+L111,1)))</f>
        <v>São Francisco</v>
      </c>
      <c r="F111" t="str" cm="1">
        <f t="array" aca="1" ref="F111" ca="1">TRIM(SUBSTITUTE(INDEX(INDIRECT("'"&amp;B111&amp;"'!A1:A1000"),H111),"Sub-bacia modelada:",""))</f>
        <v>São Francisco</v>
      </c>
      <c r="G111" t="str">
        <f t="shared" ca="1" si="12"/>
        <v>BASE - POSTO FLU</v>
      </c>
      <c r="H111" cm="1">
        <f t="array" aca="1" ref="H111" ca="1">SMALL(ROW(INDIRECT("'"&amp;B111&amp;"'!A1:A1000"))*IF(ISNUMBER(FIND("Sub-bacia modelada:",INDIRECT("'"&amp;B111&amp;"'!A1:A1000"))),1,9999),RESUMO!A111)</f>
        <v>83</v>
      </c>
      <c r="I111">
        <f t="shared" ca="1" si="14"/>
        <v>86</v>
      </c>
      <c r="J111">
        <f t="shared" ca="1" si="15"/>
        <v>90</v>
      </c>
      <c r="K111">
        <f t="shared" ca="1" si="16"/>
        <v>0</v>
      </c>
      <c r="L111">
        <f ca="1">COUNTIF($F$1:F111,F111)</f>
        <v>1</v>
      </c>
      <c r="M111" t="str" cm="1">
        <f t="array" aca="1" ref="M111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111" cm="1">
        <f t="array" aca="1" ref="N11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44200000</v>
      </c>
      <c r="O111" t="str" cm="1">
        <f t="array" aca="1" ref="O11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PSATSFR</v>
      </c>
    </row>
    <row r="112" spans="1:15" x14ac:dyDescent="0.25">
      <c r="A112">
        <f t="shared" ca="1" si="17"/>
        <v>6</v>
      </c>
      <c r="B112" t="s">
        <v>269</v>
      </c>
      <c r="C112" t="s">
        <v>270</v>
      </c>
      <c r="D112" t="s">
        <v>82</v>
      </c>
      <c r="E112" t="str" cm="1">
        <f t="array" aca="1" ref="E112" ca="1">IF(K112=0,F112,TRIM(OFFSET(INDIRECT("'"&amp;B112&amp;"'!A1"),I112+L112,1)))</f>
        <v>Boqueirão</v>
      </c>
      <c r="F112" t="str" cm="1">
        <f t="array" aca="1" ref="F112" ca="1">TRIM(SUBSTITUTE(INDEX(INDIRECT("'"&amp;B112&amp;"'!A1:A1000"),H112),"Sub-bacia modelada:",""))</f>
        <v>Boqueirão</v>
      </c>
      <c r="G112" t="str">
        <f t="shared" ca="1" si="12"/>
        <v>BASE - POSTO FLU</v>
      </c>
      <c r="H112" cm="1">
        <f t="array" aca="1" ref="H112" ca="1">SMALL(ROW(INDIRECT("'"&amp;B112&amp;"'!A1:A1000"))*IF(ISNUMBER(FIND("Sub-bacia modelada:",INDIRECT("'"&amp;B112&amp;"'!A1:A1000"))),1,9999),RESUMO!A112)</f>
        <v>103</v>
      </c>
      <c r="I112">
        <f t="shared" ca="1" si="14"/>
        <v>106</v>
      </c>
      <c r="J112">
        <f t="shared" ca="1" si="15"/>
        <v>110</v>
      </c>
      <c r="K112">
        <f t="shared" ca="1" si="16"/>
        <v>0</v>
      </c>
      <c r="L112">
        <f ca="1">COUNTIF($F$1:F112,F112)</f>
        <v>1</v>
      </c>
      <c r="M112" t="str" cm="1">
        <f t="array" aca="1" ref="M112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112" cm="1">
        <f t="array" aca="1" ref="N11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46902000</v>
      </c>
      <c r="O112" t="str" cm="1">
        <f t="array" aca="1" ref="O11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PSATBOQ</v>
      </c>
    </row>
    <row r="113" spans="1:15" x14ac:dyDescent="0.25">
      <c r="A113">
        <f t="shared" ca="1" si="17"/>
        <v>7</v>
      </c>
      <c r="B113" t="s">
        <v>269</v>
      </c>
      <c r="C113" t="s">
        <v>270</v>
      </c>
      <c r="D113" t="s">
        <v>271</v>
      </c>
      <c r="E113" t="str" cm="1">
        <f t="array" aca="1" ref="E113" ca="1">IF(K113=0,F113,TRIM(OFFSET(INDIRECT("'"&amp;B113&amp;"'!A1"),I113+L113,1)))</f>
        <v>Irapé</v>
      </c>
      <c r="F113" t="str" cm="1">
        <f t="array" aca="1" ref="F113" ca="1">TRIM(SUBSTITUTE(INDEX(INDIRECT("'"&amp;B113&amp;"'!A1:A1000"),H113),"Sub-bacia modelada:",""))</f>
        <v>Irapé</v>
      </c>
      <c r="G113" t="str">
        <f t="shared" ca="1" si="12"/>
        <v>BASE - RESERVATÓRIO</v>
      </c>
      <c r="H113" cm="1">
        <f t="array" aca="1" ref="H113" ca="1">SMALL(ROW(INDIRECT("'"&amp;B113&amp;"'!A1:A1000"))*IF(ISNUMBER(FIND("Sub-bacia modelada:",INDIRECT("'"&amp;B113&amp;"'!A1:A1000"))),1,9999),RESUMO!A113)</f>
        <v>124</v>
      </c>
      <c r="I113">
        <f t="shared" ca="1" si="14"/>
        <v>127</v>
      </c>
      <c r="J113">
        <f t="shared" ca="1" si="15"/>
        <v>131</v>
      </c>
      <c r="K113">
        <f t="shared" ca="1" si="16"/>
        <v>1</v>
      </c>
      <c r="L113">
        <f ca="1">COUNTIF($F$1:F113,F113)</f>
        <v>1</v>
      </c>
      <c r="M113" cm="1">
        <f t="array" aca="1" ref="M113" ca="1">IF(Tabela2[[#This Row],[TIPO]]&lt;&gt;"BASE - POSTO FLU",_xlfn.XLOOKUP(Tabela2[[#This Row],[SUBBACIA]],INDIRECT("'"&amp;Tabela2[[#This Row],[MODELO]]&amp;"'!B1:B5000"),INDIRECT("'"&amp;Tabela2[[#This Row],[MODELO]]&amp;"'!A1:A5000")),"")</f>
        <v>255</v>
      </c>
      <c r="N113" t="str" cm="1">
        <f t="array" aca="1" ref="N11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13" t="str" cm="1">
        <f t="array" aca="1" ref="O11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PSATIRAP</v>
      </c>
    </row>
    <row r="114" spans="1:15" x14ac:dyDescent="0.25">
      <c r="A114">
        <f t="shared" ca="1" si="17"/>
        <v>8</v>
      </c>
      <c r="B114" t="s">
        <v>269</v>
      </c>
      <c r="C114" t="s">
        <v>270</v>
      </c>
      <c r="D114" t="s">
        <v>271</v>
      </c>
      <c r="E114" t="str" cm="1">
        <f t="array" aca="1" ref="E114" ca="1">IF(K114=0,F114,TRIM(OFFSET(INDIRECT("'"&amp;B114&amp;"'!A1"),I114+L114,1)))</f>
        <v>Itapebi</v>
      </c>
      <c r="F114" t="str" cm="1">
        <f t="array" aca="1" ref="F114" ca="1">TRIM(SUBSTITUTE(INDEX(INDIRECT("'"&amp;B114&amp;"'!A1:A1000"),H114),"Sub-bacia modelada:",""))</f>
        <v>Itapebi</v>
      </c>
      <c r="G114" t="str">
        <f t="shared" ca="1" si="12"/>
        <v>BASE - RESERVATÓRIO</v>
      </c>
      <c r="H114" cm="1">
        <f t="array" aca="1" ref="H114" ca="1">SMALL(ROW(INDIRECT("'"&amp;B114&amp;"'!A1:A1000"))*IF(ISNUMBER(FIND("Sub-bacia modelada:",INDIRECT("'"&amp;B114&amp;"'!A1:A1000"))),1,9999),RESUMO!A114)</f>
        <v>145</v>
      </c>
      <c r="I114">
        <f t="shared" ca="1" si="14"/>
        <v>148</v>
      </c>
      <c r="J114">
        <f t="shared" ca="1" si="15"/>
        <v>152</v>
      </c>
      <c r="K114">
        <f t="shared" ca="1" si="16"/>
        <v>1</v>
      </c>
      <c r="L114">
        <f ca="1">COUNTIF($F$1:F114,F114)</f>
        <v>1</v>
      </c>
      <c r="M114" cm="1">
        <f t="array" aca="1" ref="M114" ca="1">IF(Tabela2[[#This Row],[TIPO]]&lt;&gt;"BASE - POSTO FLU",_xlfn.XLOOKUP(Tabela2[[#This Row],[SUBBACIA]],INDIRECT("'"&amp;Tabela2[[#This Row],[MODELO]]&amp;"'!B1:B5000"),INDIRECT("'"&amp;Tabela2[[#This Row],[MODELO]]&amp;"'!A1:A5000")),"")</f>
        <v>188</v>
      </c>
      <c r="N114" t="str" cm="1">
        <f t="array" aca="1" ref="N11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14" t="str" cm="1">
        <f t="array" aca="1" ref="O11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PSATITBI</v>
      </c>
    </row>
    <row r="115" spans="1:15" x14ac:dyDescent="0.25">
      <c r="A115">
        <f t="shared" ca="1" si="17"/>
        <v>9</v>
      </c>
      <c r="B115" t="s">
        <v>269</v>
      </c>
      <c r="C115" t="s">
        <v>270</v>
      </c>
      <c r="D115" t="s">
        <v>272</v>
      </c>
      <c r="E115" t="str" cm="1">
        <f t="array" aca="1" ref="E115" ca="1">IF(K115=0,F115,TRIM(OFFSET(INDIRECT("'"&amp;B115&amp;"'!A1"),I115+L115,1)))</f>
        <v>Boa Esperança</v>
      </c>
      <c r="F115" t="str" cm="1">
        <f t="array" aca="1" ref="F115" ca="1">TRIM(SUBSTITUTE(INDEX(INDIRECT("'"&amp;B115&amp;"'!A1:A1000"),H115),"Sub-bacia modelada:",""))</f>
        <v>Boa Esperança</v>
      </c>
      <c r="G115" t="str">
        <f t="shared" ca="1" si="12"/>
        <v>BASE - RESERVATÓRIO</v>
      </c>
      <c r="H115" cm="1">
        <f t="array" aca="1" ref="H115" ca="1">SMALL(ROW(INDIRECT("'"&amp;B115&amp;"'!A1:A1000"))*IF(ISNUMBER(FIND("Sub-bacia modelada:",INDIRECT("'"&amp;B115&amp;"'!A1:A1000"))),1,9999),RESUMO!A115)</f>
        <v>166</v>
      </c>
      <c r="I115">
        <f t="shared" ca="1" si="14"/>
        <v>169</v>
      </c>
      <c r="J115">
        <f t="shared" ca="1" si="15"/>
        <v>173</v>
      </c>
      <c r="K115">
        <f t="shared" ca="1" si="16"/>
        <v>1</v>
      </c>
      <c r="L115">
        <f ca="1">COUNTIF($F$1:F115,F115)</f>
        <v>1</v>
      </c>
      <c r="M115" cm="1">
        <f t="array" aca="1" ref="M115" ca="1">IF(Tabela2[[#This Row],[TIPO]]&lt;&gt;"BASE - POSTO FLU",_xlfn.XLOOKUP(Tabela2[[#This Row],[SUBBACIA]],INDIRECT("'"&amp;Tabela2[[#This Row],[MODELO]]&amp;"'!B1:B5000"),INDIRECT("'"&amp;Tabela2[[#This Row],[MODELO]]&amp;"'!A1:A5000")),"")</f>
        <v>190</v>
      </c>
      <c r="N115" t="str" cm="1">
        <f t="array" aca="1" ref="N11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15" t="str" cm="1">
        <f t="array" aca="1" ref="O11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PSATUBE</v>
      </c>
    </row>
    <row r="116" spans="1:15" x14ac:dyDescent="0.25">
      <c r="A116">
        <f t="shared" ca="1" si="17"/>
        <v>10</v>
      </c>
      <c r="B116" t="s">
        <v>269</v>
      </c>
      <c r="C116" t="s">
        <v>270</v>
      </c>
      <c r="D116" t="s">
        <v>22</v>
      </c>
      <c r="E116" t="str" cm="1">
        <f t="array" aca="1" ref="E116" ca="1">IF(K116=0,F116,TRIM(OFFSET(INDIRECT("'"&amp;B116&amp;"'!A1"),I116+L116,1)))</f>
        <v>Pedra do Cavalo</v>
      </c>
      <c r="F116" t="str" cm="1">
        <f t="array" aca="1" ref="F116" ca="1">TRIM(SUBSTITUTE(INDEX(INDIRECT("'"&amp;B116&amp;"'!A1:A1000"),H116),"Sub-bacia modelada:",""))</f>
        <v>Pedra do Cavalo</v>
      </c>
      <c r="G116" t="str">
        <f t="shared" ca="1" si="12"/>
        <v>BASE - RESERVATÓRIO</v>
      </c>
      <c r="H116" cm="1">
        <f t="array" aca="1" ref="H116" ca="1">SMALL(ROW(INDIRECT("'"&amp;B116&amp;"'!A1:A1000"))*IF(ISNUMBER(FIND("Sub-bacia modelada:",INDIRECT("'"&amp;B116&amp;"'!A1:A1000"))),1,9999),RESUMO!A116)</f>
        <v>187</v>
      </c>
      <c r="I116">
        <f t="shared" ca="1" si="14"/>
        <v>190</v>
      </c>
      <c r="J116">
        <f t="shared" ca="1" si="15"/>
        <v>194</v>
      </c>
      <c r="K116">
        <f t="shared" ca="1" si="16"/>
        <v>1</v>
      </c>
      <c r="L116">
        <f ca="1">COUNTIF($F$1:F116,F116)</f>
        <v>1</v>
      </c>
      <c r="M116" cm="1">
        <f t="array" aca="1" ref="M116" ca="1">IF(Tabela2[[#This Row],[TIPO]]&lt;&gt;"BASE - POSTO FLU",_xlfn.XLOOKUP(Tabela2[[#This Row],[SUBBACIA]],INDIRECT("'"&amp;Tabela2[[#This Row],[MODELO]]&amp;"'!B1:B5000"),INDIRECT("'"&amp;Tabela2[[#This Row],[MODELO]]&amp;"'!A1:A5000")),"")</f>
        <v>254</v>
      </c>
      <c r="N116" t="str" cm="1">
        <f t="array" aca="1" ref="N11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16" t="str" cm="1">
        <f t="array" aca="1" ref="O11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PSATPDC</v>
      </c>
    </row>
    <row r="117" spans="1:15" x14ac:dyDescent="0.25">
      <c r="A117">
        <v>1</v>
      </c>
      <c r="B117" t="s">
        <v>273</v>
      </c>
      <c r="C117" t="s">
        <v>274</v>
      </c>
      <c r="D117" t="s">
        <v>275</v>
      </c>
      <c r="E117" t="str" cm="1">
        <f t="array" aca="1" ref="E117" ca="1">IF(K117=0,F117,TRIM(OFFSET(INDIRECT("'"&amp;B117&amp;"'!A1"),I117+L117,1)))</f>
        <v>Serra da Mesa</v>
      </c>
      <c r="F117" t="str" cm="1">
        <f t="array" aca="1" ref="F117" ca="1">TRIM(SUBSTITUTE(INDEX(INDIRECT("'"&amp;B117&amp;"'!A1:A1000"),H117),"Sub-bacia modelada:",""))</f>
        <v>Serra da Mesa</v>
      </c>
      <c r="G117" t="str">
        <f t="shared" ca="1" si="12"/>
        <v>BASE - RESERVATÓRIO</v>
      </c>
      <c r="H117" cm="1">
        <f t="array" aca="1" ref="H117" ca="1">SMALL(ROW(INDIRECT("'"&amp;B117&amp;"'!A1:A1000"))*IF(ISNUMBER(FIND("Sub-bacia modelada:",INDIRECT("'"&amp;B117&amp;"'!A1:A1000"))),1,9999),RESUMO!A117)</f>
        <v>2</v>
      </c>
      <c r="I117">
        <f t="shared" ca="1" si="14"/>
        <v>5</v>
      </c>
      <c r="J117">
        <f t="shared" ca="1" si="15"/>
        <v>9</v>
      </c>
      <c r="K117">
        <f t="shared" ca="1" si="16"/>
        <v>1</v>
      </c>
      <c r="L117">
        <f ca="1">COUNTIF($F$1:F117,F117)</f>
        <v>1</v>
      </c>
      <c r="M117" cm="1">
        <f t="array" aca="1" ref="M117" ca="1">IF(Tabela2[[#This Row],[TIPO]]&lt;&gt;"BASE - POSTO FLU",_xlfn.XLOOKUP(Tabela2[[#This Row],[SUBBACIA]],INDIRECT("'"&amp;Tabela2[[#This Row],[MODELO]]&amp;"'!B1:B5000"),INDIRECT("'"&amp;Tabela2[[#This Row],[MODELO]]&amp;"'!A1:A5000")),"")</f>
        <v>270</v>
      </c>
      <c r="N117" t="str" cm="1">
        <f t="array" aca="1" ref="N11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17" t="str" cm="1">
        <f t="array" aca="1" ref="O11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PSATSME</v>
      </c>
    </row>
    <row r="118" spans="1:15" x14ac:dyDescent="0.25">
      <c r="A118">
        <f t="shared" ref="A118:A145" ca="1" si="18">IF(AND(K117&gt;1,L117&lt;&gt;K117),A117,A117+1)</f>
        <v>2</v>
      </c>
      <c r="B118" t="s">
        <v>273</v>
      </c>
      <c r="C118" t="s">
        <v>274</v>
      </c>
      <c r="D118" t="s">
        <v>275</v>
      </c>
      <c r="E118" t="str" cm="1">
        <f t="array" aca="1" ref="E118" ca="1">IF(K118=0,F118,TRIM(OFFSET(INDIRECT("'"&amp;B118&amp;"'!A1"),I118+L118,1)))</f>
        <v>Cana Brava</v>
      </c>
      <c r="F118" t="str" cm="1">
        <f t="array" aca="1" ref="F118" ca="1">TRIM(SUBSTITUTE(INDEX(INDIRECT("'"&amp;B118&amp;"'!A1:A1000"),H118),"Sub-bacia modelada:",""))</f>
        <v>Lajeado</v>
      </c>
      <c r="G118" t="str">
        <f t="shared" ca="1" si="12"/>
        <v>NÃO BASE</v>
      </c>
      <c r="H118" cm="1">
        <f t="array" aca="1" ref="H118" ca="1">SMALL(ROW(INDIRECT("'"&amp;B118&amp;"'!A1:A1000"))*IF(ISNUMBER(FIND("Sub-bacia modelada:",INDIRECT("'"&amp;B118&amp;"'!A1:A1000"))),1,9999),RESUMO!A118)</f>
        <v>23</v>
      </c>
      <c r="I118">
        <f t="shared" ca="1" si="14"/>
        <v>26</v>
      </c>
      <c r="J118">
        <f t="shared" ca="1" si="15"/>
        <v>33</v>
      </c>
      <c r="K118">
        <f t="shared" ca="1" si="16"/>
        <v>4</v>
      </c>
      <c r="L118">
        <f ca="1">COUNTIF($F$1:F118,F118)</f>
        <v>1</v>
      </c>
      <c r="M118" cm="1">
        <f t="array" aca="1" ref="M118" ca="1">IF(Tabela2[[#This Row],[TIPO]]&lt;&gt;"BASE - POSTO FLU",_xlfn.XLOOKUP(Tabela2[[#This Row],[SUBBACIA]],INDIRECT("'"&amp;Tabela2[[#This Row],[MODELO]]&amp;"'!B1:B5000"),INDIRECT("'"&amp;Tabela2[[#This Row],[MODELO]]&amp;"'!A1:A5000")),"")</f>
        <v>191</v>
      </c>
      <c r="N118" t="str" cm="1">
        <f t="array" aca="1" ref="N11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18" t="str" cm="1">
        <f t="array" aca="1" ref="O11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19" spans="1:15" x14ac:dyDescent="0.25">
      <c r="A119">
        <f t="shared" ca="1" si="18"/>
        <v>2</v>
      </c>
      <c r="B119" t="s">
        <v>273</v>
      </c>
      <c r="C119" t="s">
        <v>274</v>
      </c>
      <c r="D119" t="s">
        <v>275</v>
      </c>
      <c r="E119" t="str" cm="1">
        <f t="array" aca="1" ref="E119" ca="1">IF(K119=0,F119,TRIM(OFFSET(INDIRECT("'"&amp;B119&amp;"'!A1"),I119+L119,1)))</f>
        <v>São Salvador</v>
      </c>
      <c r="F119" t="str" cm="1">
        <f t="array" aca="1" ref="F119" ca="1">TRIM(SUBSTITUTE(INDEX(INDIRECT("'"&amp;B119&amp;"'!A1:A1000"),H119),"Sub-bacia modelada:",""))</f>
        <v>Lajeado</v>
      </c>
      <c r="G119" t="str">
        <f t="shared" ca="1" si="12"/>
        <v>NÃO BASE</v>
      </c>
      <c r="H119" cm="1">
        <f t="array" aca="1" ref="H119" ca="1">SMALL(ROW(INDIRECT("'"&amp;B119&amp;"'!A1:A1000"))*IF(ISNUMBER(FIND("Sub-bacia modelada:",INDIRECT("'"&amp;B119&amp;"'!A1:A1000"))),1,9999),RESUMO!A119)</f>
        <v>23</v>
      </c>
      <c r="I119">
        <f t="shared" ca="1" si="14"/>
        <v>26</v>
      </c>
      <c r="J119">
        <f t="shared" ca="1" si="15"/>
        <v>33</v>
      </c>
      <c r="K119">
        <f t="shared" ca="1" si="16"/>
        <v>4</v>
      </c>
      <c r="L119">
        <f ca="1">COUNTIF($F$1:F119,F119)</f>
        <v>2</v>
      </c>
      <c r="M119" cm="1">
        <f t="array" aca="1" ref="M119" ca="1">IF(Tabela2[[#This Row],[TIPO]]&lt;&gt;"BASE - POSTO FLU",_xlfn.XLOOKUP(Tabela2[[#This Row],[SUBBACIA]],INDIRECT("'"&amp;Tabela2[[#This Row],[MODELO]]&amp;"'!B1:B5000"),INDIRECT("'"&amp;Tabela2[[#This Row],[MODELO]]&amp;"'!A1:A5000")),"")</f>
        <v>253</v>
      </c>
      <c r="N119" t="str" cm="1">
        <f t="array" aca="1" ref="N11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19" t="str" cm="1">
        <f t="array" aca="1" ref="O11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20" spans="1:15" x14ac:dyDescent="0.25">
      <c r="A120">
        <f t="shared" ca="1" si="18"/>
        <v>2</v>
      </c>
      <c r="B120" t="s">
        <v>273</v>
      </c>
      <c r="C120" t="s">
        <v>274</v>
      </c>
      <c r="D120" t="s">
        <v>275</v>
      </c>
      <c r="E120" t="str" cm="1">
        <f t="array" aca="1" ref="E120" ca="1">IF(K120=0,F120,TRIM(OFFSET(INDIRECT("'"&amp;B120&amp;"'!A1"),I120+L120,1)))</f>
        <v>Peixe Angical</v>
      </c>
      <c r="F120" t="str" cm="1">
        <f t="array" aca="1" ref="F120" ca="1">TRIM(SUBSTITUTE(INDEX(INDIRECT("'"&amp;B120&amp;"'!A1:A1000"),H120),"Sub-bacia modelada:",""))</f>
        <v>Lajeado</v>
      </c>
      <c r="G120" t="str">
        <f t="shared" ca="1" si="12"/>
        <v>NÃO BASE</v>
      </c>
      <c r="H120" cm="1">
        <f t="array" aca="1" ref="H120" ca="1">SMALL(ROW(INDIRECT("'"&amp;B120&amp;"'!A1:A1000"))*IF(ISNUMBER(FIND("Sub-bacia modelada:",INDIRECT("'"&amp;B120&amp;"'!A1:A1000"))),1,9999),RESUMO!A120)</f>
        <v>23</v>
      </c>
      <c r="I120">
        <f t="shared" ca="1" si="14"/>
        <v>26</v>
      </c>
      <c r="J120">
        <f t="shared" ca="1" si="15"/>
        <v>33</v>
      </c>
      <c r="K120">
        <f t="shared" ca="1" si="16"/>
        <v>4</v>
      </c>
      <c r="L120">
        <f ca="1">COUNTIF($F$1:F120,F120)</f>
        <v>3</v>
      </c>
      <c r="M120" cm="1">
        <f t="array" aca="1" ref="M120" ca="1">IF(Tabela2[[#This Row],[TIPO]]&lt;&gt;"BASE - POSTO FLU",_xlfn.XLOOKUP(Tabela2[[#This Row],[SUBBACIA]],INDIRECT("'"&amp;Tabela2[[#This Row],[MODELO]]&amp;"'!B1:B5000"),INDIRECT("'"&amp;Tabela2[[#This Row],[MODELO]]&amp;"'!A1:A5000")),"")</f>
        <v>257</v>
      </c>
      <c r="N120" t="str" cm="1">
        <f t="array" aca="1" ref="N12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20" t="str" cm="1">
        <f t="array" aca="1" ref="O12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21" spans="1:15" x14ac:dyDescent="0.25">
      <c r="A121">
        <f t="shared" ca="1" si="18"/>
        <v>2</v>
      </c>
      <c r="B121" t="s">
        <v>273</v>
      </c>
      <c r="C121" t="s">
        <v>274</v>
      </c>
      <c r="D121" t="s">
        <v>275</v>
      </c>
      <c r="E121" t="str" cm="1">
        <f t="array" aca="1" ref="E121" ca="1">IF(K121=0,F121,TRIM(OFFSET(INDIRECT("'"&amp;B121&amp;"'!A1"),I121+L121,1)))</f>
        <v>Lajeado</v>
      </c>
      <c r="F121" t="str" cm="1">
        <f t="array" aca="1" ref="F121" ca="1">TRIM(SUBSTITUTE(INDEX(INDIRECT("'"&amp;B121&amp;"'!A1:A1000"),H121),"Sub-bacia modelada:",""))</f>
        <v>Lajeado</v>
      </c>
      <c r="G121" t="str">
        <f t="shared" ca="1" si="12"/>
        <v>BASE - RESERVATÓRIO</v>
      </c>
      <c r="H121" cm="1">
        <f t="array" aca="1" ref="H121" ca="1">SMALL(ROW(INDIRECT("'"&amp;B121&amp;"'!A1:A1000"))*IF(ISNUMBER(FIND("Sub-bacia modelada:",INDIRECT("'"&amp;B121&amp;"'!A1:A1000"))),1,9999),RESUMO!A121)</f>
        <v>23</v>
      </c>
      <c r="I121">
        <f t="shared" ca="1" si="14"/>
        <v>26</v>
      </c>
      <c r="J121">
        <f t="shared" ca="1" si="15"/>
        <v>33</v>
      </c>
      <c r="K121">
        <f t="shared" ca="1" si="16"/>
        <v>4</v>
      </c>
      <c r="L121">
        <f ca="1">COUNTIF($F$1:F121,F121)</f>
        <v>4</v>
      </c>
      <c r="M121" cm="1">
        <f t="array" aca="1" ref="M121" ca="1">IF(Tabela2[[#This Row],[TIPO]]&lt;&gt;"BASE - POSTO FLU",_xlfn.XLOOKUP(Tabela2[[#This Row],[SUBBACIA]],INDIRECT("'"&amp;Tabela2[[#This Row],[MODELO]]&amp;"'!B1:B5000"),INDIRECT("'"&amp;Tabela2[[#This Row],[MODELO]]&amp;"'!A1:A5000")),"")</f>
        <v>273</v>
      </c>
      <c r="N121" t="str" cm="1">
        <f t="array" aca="1" ref="N12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21" t="str" cm="1">
        <f t="array" aca="1" ref="O12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PSATLAJ</v>
      </c>
    </row>
    <row r="122" spans="1:15" x14ac:dyDescent="0.25">
      <c r="A122">
        <f t="shared" ca="1" si="18"/>
        <v>3</v>
      </c>
      <c r="B122" t="s">
        <v>273</v>
      </c>
      <c r="C122" t="s">
        <v>274</v>
      </c>
      <c r="D122" t="s">
        <v>275</v>
      </c>
      <c r="E122" t="str" cm="1">
        <f t="array" aca="1" ref="E122" ca="1">IF(K122=0,F122,TRIM(OFFSET(INDIRECT("'"&amp;B122&amp;"'!A1"),I122+L122,1)))</f>
        <v>Porto Real</v>
      </c>
      <c r="F122" t="str" cm="1">
        <f t="array" aca="1" ref="F122" ca="1">TRIM(SUBSTITUTE(INDEX(INDIRECT("'"&amp;B122&amp;"'!A1:A1000"),H122),"Sub-bacia modelada:",""))</f>
        <v>Porto Real</v>
      </c>
      <c r="G122" t="str">
        <f t="shared" ca="1" si="12"/>
        <v>BASE - POSTO FLU</v>
      </c>
      <c r="H122" cm="1">
        <f t="array" aca="1" ref="H122" ca="1">SMALL(ROW(INDIRECT("'"&amp;B122&amp;"'!A1:A1000"))*IF(ISNUMBER(FIND("Sub-bacia modelada:",INDIRECT("'"&amp;B122&amp;"'!A1:A1000"))),1,9999),RESUMO!A122)</f>
        <v>47</v>
      </c>
      <c r="I122">
        <f t="shared" ca="1" si="14"/>
        <v>50</v>
      </c>
      <c r="J122">
        <f t="shared" ca="1" si="15"/>
        <v>54</v>
      </c>
      <c r="K122">
        <f t="shared" ca="1" si="16"/>
        <v>0</v>
      </c>
      <c r="L122">
        <f ca="1">COUNTIF($F$1:F122,F122)</f>
        <v>1</v>
      </c>
      <c r="M122" t="str" cm="1">
        <f t="array" aca="1" ref="M122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122" cm="1">
        <f t="array" aca="1" ref="N12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22910000</v>
      </c>
      <c r="O122" t="str" cm="1">
        <f t="array" aca="1" ref="O12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PSATPTRL</v>
      </c>
    </row>
    <row r="123" spans="1:15" x14ac:dyDescent="0.25">
      <c r="A123">
        <f t="shared" ca="1" si="18"/>
        <v>4</v>
      </c>
      <c r="B123" t="s">
        <v>273</v>
      </c>
      <c r="C123" t="s">
        <v>274</v>
      </c>
      <c r="D123" t="s">
        <v>275</v>
      </c>
      <c r="E123" t="str" cm="1">
        <f t="array" aca="1" ref="E123" ca="1">IF(K123=0,F123,TRIM(OFFSET(INDIRECT("'"&amp;B123&amp;"'!A1"),I123+L123,1)))</f>
        <v>Estreito</v>
      </c>
      <c r="F123" t="str" cm="1">
        <f t="array" aca="1" ref="F123" ca="1">TRIM(SUBSTITUTE(INDEX(INDIRECT("'"&amp;B123&amp;"'!A1:A1000"),H123),"Sub-bacia modelada:",""))</f>
        <v>Estreito</v>
      </c>
      <c r="G123" t="str">
        <f t="shared" ca="1" si="12"/>
        <v>BASE - RESERVATÓRIO</v>
      </c>
      <c r="H123" cm="1">
        <f t="array" aca="1" ref="H123" ca="1">SMALL(ROW(INDIRECT("'"&amp;B123&amp;"'!A1:A1000"))*IF(ISNUMBER(FIND("Sub-bacia modelada:",INDIRECT("'"&amp;B123&amp;"'!A1:A1000"))),1,9999),RESUMO!A123)</f>
        <v>68</v>
      </c>
      <c r="I123">
        <f t="shared" ca="1" si="14"/>
        <v>71</v>
      </c>
      <c r="J123">
        <f t="shared" ca="1" si="15"/>
        <v>75</v>
      </c>
      <c r="K123">
        <f t="shared" ca="1" si="16"/>
        <v>1</v>
      </c>
      <c r="L123">
        <f ca="1">COUNTIF($F$1:F123,F123)</f>
        <v>1</v>
      </c>
      <c r="M123" cm="1">
        <f t="array" aca="1" ref="M123" ca="1">IF(Tabela2[[#This Row],[TIPO]]&lt;&gt;"BASE - POSTO FLU",_xlfn.XLOOKUP(Tabela2[[#This Row],[SUBBACIA]],INDIRECT("'"&amp;Tabela2[[#This Row],[MODELO]]&amp;"'!B1:B5000"),INDIRECT("'"&amp;Tabela2[[#This Row],[MODELO]]&amp;"'!A1:A5000")),"")</f>
        <v>271</v>
      </c>
      <c r="N123" t="str" cm="1">
        <f t="array" aca="1" ref="N12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23" t="str" cm="1">
        <f t="array" aca="1" ref="O12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PSATLJET</v>
      </c>
    </row>
    <row r="124" spans="1:15" x14ac:dyDescent="0.25">
      <c r="A124">
        <f t="shared" ca="1" si="18"/>
        <v>5</v>
      </c>
      <c r="B124" t="s">
        <v>273</v>
      </c>
      <c r="C124" t="s">
        <v>274</v>
      </c>
      <c r="D124" t="s">
        <v>275</v>
      </c>
      <c r="E124" t="str" cm="1">
        <f t="array" aca="1" ref="E124" ca="1">IF(K124=0,F124,TRIM(OFFSET(INDIRECT("'"&amp;B124&amp;"'!A1"),I124+L124,1)))</f>
        <v>Bandeirantes</v>
      </c>
      <c r="F124" t="str" cm="1">
        <f t="array" aca="1" ref="F124" ca="1">TRIM(SUBSTITUTE(INDEX(INDIRECT("'"&amp;B124&amp;"'!A1:A1000"),H124),"Sub-bacia modelada:",""))</f>
        <v>Bandeirantes</v>
      </c>
      <c r="G124" t="str">
        <f t="shared" ca="1" si="12"/>
        <v>BASE - POSTO FLU</v>
      </c>
      <c r="H124" cm="1">
        <f t="array" aca="1" ref="H124" ca="1">SMALL(ROW(INDIRECT("'"&amp;B124&amp;"'!A1:A1000"))*IF(ISNUMBER(FIND("Sub-bacia modelada:",INDIRECT("'"&amp;B124&amp;"'!A1:A1000"))),1,9999),RESUMO!A124)</f>
        <v>89</v>
      </c>
      <c r="I124">
        <f t="shared" ca="1" si="14"/>
        <v>92</v>
      </c>
      <c r="J124">
        <f t="shared" ca="1" si="15"/>
        <v>96</v>
      </c>
      <c r="K124">
        <f t="shared" ca="1" si="16"/>
        <v>0</v>
      </c>
      <c r="L124">
        <f ca="1">COUNTIF($F$1:F124,F124)</f>
        <v>1</v>
      </c>
      <c r="M124" t="str" cm="1">
        <f t="array" aca="1" ref="M124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124" cm="1">
        <f t="array" aca="1" ref="N12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25700000</v>
      </c>
      <c r="O124" t="str" cm="1">
        <f t="array" aca="1" ref="O12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PSATBTE</v>
      </c>
    </row>
    <row r="125" spans="1:15" x14ac:dyDescent="0.25">
      <c r="A125">
        <f t="shared" ca="1" si="18"/>
        <v>6</v>
      </c>
      <c r="B125" t="s">
        <v>273</v>
      </c>
      <c r="C125" t="s">
        <v>274</v>
      </c>
      <c r="D125" t="s">
        <v>275</v>
      </c>
      <c r="E125" t="str" cm="1">
        <f t="array" aca="1" ref="E125" ca="1">IF(K125=0,F125,TRIM(OFFSET(INDIRECT("'"&amp;B125&amp;"'!A1"),I125+L125,1)))</f>
        <v>Conceição do Araguaia</v>
      </c>
      <c r="F125" t="str" cm="1">
        <f t="array" aca="1" ref="F125" ca="1">TRIM(SUBSTITUTE(INDEX(INDIRECT("'"&amp;B125&amp;"'!A1:A1000"),H125),"Sub-bacia modelada:",""))</f>
        <v>Conceição do Araguaia</v>
      </c>
      <c r="G125" t="str">
        <f t="shared" ca="1" si="12"/>
        <v>BASE - POSTO FLU</v>
      </c>
      <c r="H125" cm="1">
        <f t="array" aca="1" ref="H125" ca="1">SMALL(ROW(INDIRECT("'"&amp;B125&amp;"'!A1:A1000"))*IF(ISNUMBER(FIND("Sub-bacia modelada:",INDIRECT("'"&amp;B125&amp;"'!A1:A1000"))),1,9999),RESUMO!A125)</f>
        <v>110</v>
      </c>
      <c r="I125">
        <f t="shared" ca="1" si="14"/>
        <v>113</v>
      </c>
      <c r="J125">
        <f t="shared" ca="1" si="15"/>
        <v>117</v>
      </c>
      <c r="K125">
        <f t="shared" ca="1" si="16"/>
        <v>0</v>
      </c>
      <c r="L125">
        <f ca="1">COUNTIF($F$1:F125,F125)</f>
        <v>1</v>
      </c>
      <c r="M125" t="str" cm="1">
        <f t="array" aca="1" ref="M125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125" cm="1">
        <f t="array" aca="1" ref="N12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27500000</v>
      </c>
      <c r="O125" t="str" cm="1">
        <f t="array" aca="1" ref="O12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PSATARAG</v>
      </c>
    </row>
    <row r="126" spans="1:15" x14ac:dyDescent="0.25">
      <c r="A126">
        <f t="shared" ca="1" si="18"/>
        <v>7</v>
      </c>
      <c r="B126" t="s">
        <v>273</v>
      </c>
      <c r="C126" t="s">
        <v>274</v>
      </c>
      <c r="D126" t="s">
        <v>275</v>
      </c>
      <c r="E126" t="str" cm="1">
        <f t="array" aca="1" ref="E126" ca="1">IF(K126=0,F126,TRIM(OFFSET(INDIRECT("'"&amp;B126&amp;"'!A1"),I126+L126,1)))</f>
        <v>Tucuruí</v>
      </c>
      <c r="F126" t="str" cm="1">
        <f t="array" aca="1" ref="F126" ca="1">TRIM(SUBSTITUTE(INDEX(INDIRECT("'"&amp;B126&amp;"'!A1:A1000"),H126),"Sub-bacia modelada:",""))</f>
        <v>Tucuruí</v>
      </c>
      <c r="G126" t="str">
        <f t="shared" ca="1" si="12"/>
        <v>BASE - RESERVATÓRIO</v>
      </c>
      <c r="H126" cm="1">
        <f t="array" aca="1" ref="H126" ca="1">SMALL(ROW(INDIRECT("'"&amp;B126&amp;"'!A1:A1000"))*IF(ISNUMBER(FIND("Sub-bacia modelada:",INDIRECT("'"&amp;B126&amp;"'!A1:A1000"))),1,9999),RESUMO!A126)</f>
        <v>131</v>
      </c>
      <c r="I126">
        <f t="shared" ca="1" si="14"/>
        <v>134</v>
      </c>
      <c r="J126">
        <f t="shared" ca="1" si="15"/>
        <v>138</v>
      </c>
      <c r="K126">
        <f t="shared" ca="1" si="16"/>
        <v>1</v>
      </c>
      <c r="L126">
        <f ca="1">COUNTIF($F$1:F126,F126)</f>
        <v>1</v>
      </c>
      <c r="M126" cm="1">
        <f t="array" aca="1" ref="M126" ca="1">IF(Tabela2[[#This Row],[TIPO]]&lt;&gt;"BASE - POSTO FLU",_xlfn.XLOOKUP(Tabela2[[#This Row],[SUBBACIA]],INDIRECT("'"&amp;Tabela2[[#This Row],[MODELO]]&amp;"'!B1:B5000"),INDIRECT("'"&amp;Tabela2[[#This Row],[MODELO]]&amp;"'!A1:A5000")),"")</f>
        <v>275</v>
      </c>
      <c r="N126" t="str" cm="1">
        <f t="array" aca="1" ref="N12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26" t="str" cm="1">
        <f t="array" aca="1" ref="O12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PSATUCR</v>
      </c>
    </row>
    <row r="127" spans="1:15" x14ac:dyDescent="0.25">
      <c r="A127">
        <f t="shared" ca="1" si="18"/>
        <v>8</v>
      </c>
      <c r="B127" t="s">
        <v>273</v>
      </c>
      <c r="C127" t="s">
        <v>274</v>
      </c>
      <c r="D127" t="s">
        <v>276</v>
      </c>
      <c r="E127" t="str" cm="1">
        <f t="array" aca="1" ref="E127" ca="1">IF(K127=0,F127,TRIM(OFFSET(INDIRECT("'"&amp;B127&amp;"'!A1"),I127+L127,1)))</f>
        <v>Príncipe da Beira</v>
      </c>
      <c r="F127" t="str" cm="1">
        <f t="array" aca="1" ref="F127" ca="1">TRIM(SUBSTITUTE(INDEX(INDIRECT("'"&amp;B127&amp;"'!A1:A1000"),H127),"Sub-bacia modelada:",""))</f>
        <v>Príncipe da Beira</v>
      </c>
      <c r="G127" t="str">
        <f t="shared" ca="1" si="12"/>
        <v>BASE - POSTO FLU</v>
      </c>
      <c r="H127" cm="1">
        <f t="array" aca="1" ref="H127" ca="1">SMALL(ROW(INDIRECT("'"&amp;B127&amp;"'!A1:A1000"))*IF(ISNUMBER(FIND("Sub-bacia modelada:",INDIRECT("'"&amp;B127&amp;"'!A1:A1000"))),1,9999),RESUMO!A127)</f>
        <v>153</v>
      </c>
      <c r="I127">
        <f t="shared" ca="1" si="14"/>
        <v>156</v>
      </c>
      <c r="J127">
        <f t="shared" ca="1" si="15"/>
        <v>160</v>
      </c>
      <c r="K127">
        <f t="shared" ca="1" si="16"/>
        <v>0</v>
      </c>
      <c r="L127">
        <f ca="1">COUNTIF($F$1:F127,F127)</f>
        <v>1</v>
      </c>
      <c r="M127" t="str" cm="1">
        <f t="array" aca="1" ref="M127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127" cm="1">
        <f t="array" aca="1" ref="N12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15200010</v>
      </c>
      <c r="O127" t="str" cm="1">
        <f t="array" aca="1" ref="O12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PSATPEPB</v>
      </c>
    </row>
    <row r="128" spans="1:15" x14ac:dyDescent="0.25">
      <c r="A128">
        <f t="shared" ca="1" si="18"/>
        <v>9</v>
      </c>
      <c r="B128" t="s">
        <v>273</v>
      </c>
      <c r="C128" t="s">
        <v>274</v>
      </c>
      <c r="D128" t="s">
        <v>276</v>
      </c>
      <c r="E128" t="str" cm="1">
        <f t="array" aca="1" ref="E128" ca="1">IF(K128=0,F128,TRIM(OFFSET(INDIRECT("'"&amp;B128&amp;"'!A1"),I128+L128,1)))</f>
        <v>Guajará Mirim</v>
      </c>
      <c r="F128" t="str" cm="1">
        <f t="array" aca="1" ref="F128" ca="1">TRIM(SUBSTITUTE(INDEX(INDIRECT("'"&amp;B128&amp;"'!A1:A1000"),H128),"Sub-bacia modelada:",""))</f>
        <v>Guajará Mirim</v>
      </c>
      <c r="G128" t="str">
        <f t="shared" ca="1" si="12"/>
        <v>BASE - POSTO FLU</v>
      </c>
      <c r="H128" cm="1">
        <f t="array" aca="1" ref="H128" ca="1">SMALL(ROW(INDIRECT("'"&amp;B128&amp;"'!A1:A1000"))*IF(ISNUMBER(FIND("Sub-bacia modelada:",INDIRECT("'"&amp;B128&amp;"'!A1:A1000"))),1,9999),RESUMO!A128)</f>
        <v>174</v>
      </c>
      <c r="I128">
        <f t="shared" ca="1" si="14"/>
        <v>177</v>
      </c>
      <c r="J128">
        <f t="shared" ca="1" si="15"/>
        <v>181</v>
      </c>
      <c r="K128">
        <f t="shared" ca="1" si="16"/>
        <v>0</v>
      </c>
      <c r="L128">
        <f ca="1">COUNTIF($F$1:F128,F128)</f>
        <v>1</v>
      </c>
      <c r="M128" t="str" cm="1">
        <f t="array" aca="1" ref="M128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128" cm="1">
        <f t="array" aca="1" ref="N12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15250001</v>
      </c>
      <c r="O128" t="str" cm="1">
        <f t="array" aca="1" ref="O12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PSATEGM</v>
      </c>
    </row>
    <row r="129" spans="1:15" x14ac:dyDescent="0.25">
      <c r="A129">
        <f t="shared" ca="1" si="18"/>
        <v>10</v>
      </c>
      <c r="B129" t="s">
        <v>273</v>
      </c>
      <c r="C129" t="s">
        <v>274</v>
      </c>
      <c r="D129" t="s">
        <v>276</v>
      </c>
      <c r="E129" t="str" cm="1">
        <f t="array" aca="1" ref="E129" ca="1">IF(K129=0,F129,TRIM(OFFSET(INDIRECT("'"&amp;B129&amp;"'!A1"),I129+L129,1)))</f>
        <v>Amaru Mayu</v>
      </c>
      <c r="F129" t="str" cm="1">
        <f t="array" aca="1" ref="F129" ca="1">TRIM(SUBSTITUTE(INDEX(INDIRECT("'"&amp;B129&amp;"'!A1:A1000"),H129),"Sub-bacia modelada:",""))</f>
        <v>Amaru Mayu</v>
      </c>
      <c r="G129" t="str">
        <f t="shared" ca="1" si="12"/>
        <v>BASE - POSTO FLU</v>
      </c>
      <c r="H129" cm="1">
        <f t="array" aca="1" ref="H129" ca="1">SMALL(ROW(INDIRECT("'"&amp;B129&amp;"'!A1:A1000"))*IF(ISNUMBER(FIND("Sub-bacia modelada:",INDIRECT("'"&amp;B129&amp;"'!A1:A1000"))),1,9999),RESUMO!A129)</f>
        <v>195</v>
      </c>
      <c r="I129">
        <f t="shared" ca="1" si="14"/>
        <v>198</v>
      </c>
      <c r="J129">
        <f t="shared" ca="1" si="15"/>
        <v>202</v>
      </c>
      <c r="K129">
        <f t="shared" ca="1" si="16"/>
        <v>0</v>
      </c>
      <c r="L129">
        <f ca="1">COUNTIF($F$1:F129,F129)</f>
        <v>1</v>
      </c>
      <c r="M129" t="str" cm="1">
        <f t="array" aca="1" ref="M129" ca="1">IF(Tabela2[[#This Row],[TIPO]]&lt;&gt;"BASE - POSTO FLU",_xlfn.XLOOKUP(Tabela2[[#This Row],[SUBBACIA]],INDIRECT("'"&amp;Tabela2[[#This Row],[MODELO]]&amp;"'!B1:B5000"),INDIRECT("'"&amp;Tabela2[[#This Row],[MODELO]]&amp;"'!A1:A5000")),"")</f>
        <v/>
      </c>
      <c r="N129" cm="1">
        <f t="array" aca="1" ref="N12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>15299999</v>
      </c>
      <c r="O129" t="str" cm="1">
        <f t="array" aca="1" ref="O12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PSATAMY1</v>
      </c>
    </row>
    <row r="130" spans="1:15" x14ac:dyDescent="0.25">
      <c r="A130">
        <f ca="1">IF(AND(K129&gt;1,L129&lt;&gt;K129),A129,A129+1)</f>
        <v>11</v>
      </c>
      <c r="B130" t="s">
        <v>273</v>
      </c>
      <c r="C130" t="s">
        <v>274</v>
      </c>
      <c r="D130" t="s">
        <v>276</v>
      </c>
      <c r="E130" t="str" cm="1">
        <f t="array" aca="1" ref="E130" ca="1">IF(K130=0,F130,TRIM(OFFSET(INDIRECT("'"&amp;B130&amp;"'!A1"),I130+L130,1)))</f>
        <v>Jirau</v>
      </c>
      <c r="F130" t="str" cm="1">
        <f t="array" aca="1" ref="F130" ca="1">TRIM(SUBSTITUTE(INDEX(INDIRECT("'"&amp;B130&amp;"'!A1:A1000"),H130),"Sub-bacia modelada:",""))</f>
        <v>Jirau</v>
      </c>
      <c r="G130" t="str">
        <f t="shared" ca="1" si="12"/>
        <v>BASE - RESERVATÓRIO</v>
      </c>
      <c r="H130" cm="1">
        <f t="array" aca="1" ref="H130" ca="1">SMALL(ROW(INDIRECT("'"&amp;B130&amp;"'!A1:A1000"))*IF(ISNUMBER(FIND("Sub-bacia modelada:",INDIRECT("'"&amp;B130&amp;"'!A1:A1000"))),1,9999),RESUMO!A130)</f>
        <v>219</v>
      </c>
      <c r="I130">
        <f t="shared" ca="1" si="14"/>
        <v>222</v>
      </c>
      <c r="J130">
        <f t="shared" ca="1" si="15"/>
        <v>226</v>
      </c>
      <c r="K130">
        <f t="shared" ca="1" si="16"/>
        <v>1</v>
      </c>
      <c r="L130">
        <f ca="1">COUNTIF($F$1:F130,F130)</f>
        <v>1</v>
      </c>
      <c r="M130" cm="1">
        <f t="array" aca="1" ref="M130" ca="1">IF(Tabela2[[#This Row],[TIPO]]&lt;&gt;"BASE - POSTO FLU",_xlfn.XLOOKUP(Tabela2[[#This Row],[SUBBACIA]],INDIRECT("'"&amp;Tabela2[[#This Row],[MODELO]]&amp;"'!B1:B5000"),INDIRECT("'"&amp;Tabela2[[#This Row],[MODELO]]&amp;"'!A1:A5000")),"")</f>
        <v>285</v>
      </c>
      <c r="N130" t="str" cm="1">
        <f t="array" aca="1" ref="N13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0" t="str" cm="1">
        <f t="array" aca="1" ref="O13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PSATJRI</v>
      </c>
    </row>
    <row r="131" spans="1:15" x14ac:dyDescent="0.25">
      <c r="A131">
        <f t="shared" ca="1" si="18"/>
        <v>12</v>
      </c>
      <c r="B131" t="s">
        <v>273</v>
      </c>
      <c r="C131" t="s">
        <v>274</v>
      </c>
      <c r="D131" t="s">
        <v>276</v>
      </c>
      <c r="E131" t="str" cm="1">
        <f t="array" aca="1" ref="E131" ca="1">IF(K131=0,F131,TRIM(OFFSET(INDIRECT("'"&amp;B131&amp;"'!A1"),I131+L131,1)))</f>
        <v>Santo Antônio</v>
      </c>
      <c r="F131" t="str" cm="1">
        <f t="array" aca="1" ref="F131" ca="1">TRIM(SUBSTITUTE(INDEX(INDIRECT("'"&amp;B131&amp;"'!A1:A1000"),H131),"Sub-bacia modelada:",""))</f>
        <v>Santo Antônio</v>
      </c>
      <c r="G131" t="str">
        <f t="shared" ca="1" si="12"/>
        <v>BASE - RESERVATÓRIO</v>
      </c>
      <c r="H131" cm="1">
        <f t="array" aca="1" ref="H131" ca="1">SMALL(ROW(INDIRECT("'"&amp;B131&amp;"'!A1:A1000"))*IF(ISNUMBER(FIND("Sub-bacia modelada:",INDIRECT("'"&amp;B131&amp;"'!A1:A1000"))),1,9999),RESUMO!A131)</f>
        <v>244</v>
      </c>
      <c r="I131">
        <f t="shared" ca="1" si="14"/>
        <v>247</v>
      </c>
      <c r="J131">
        <f t="shared" ca="1" si="15"/>
        <v>251</v>
      </c>
      <c r="K131">
        <f t="shared" ca="1" si="16"/>
        <v>1</v>
      </c>
      <c r="L131">
        <f ca="1">COUNTIF($F$1:F131,F131)</f>
        <v>1</v>
      </c>
      <c r="M131" cm="1">
        <f t="array" aca="1" ref="M131" ca="1">IF(Tabela2[[#This Row],[TIPO]]&lt;&gt;"BASE - POSTO FLU",_xlfn.XLOOKUP(Tabela2[[#This Row],[SUBBACIA]],INDIRECT("'"&amp;Tabela2[[#This Row],[MODELO]]&amp;"'!B1:B5000"),INDIRECT("'"&amp;Tabela2[[#This Row],[MODELO]]&amp;"'!A1:A5000")),"")</f>
        <v>287</v>
      </c>
      <c r="N131" t="str" cm="1">
        <f t="array" aca="1" ref="N13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1" t="str" cm="1">
        <f t="array" aca="1" ref="O13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PSATSTOA</v>
      </c>
    </row>
    <row r="132" spans="1:15" x14ac:dyDescent="0.25">
      <c r="A132">
        <f t="shared" ca="1" si="18"/>
        <v>13</v>
      </c>
      <c r="B132" t="s">
        <v>273</v>
      </c>
      <c r="C132" t="s">
        <v>274</v>
      </c>
      <c r="D132" t="s">
        <v>276</v>
      </c>
      <c r="E132" t="str" cm="1">
        <f t="array" aca="1" ref="E132" ca="1">IF(K132=0,F132,TRIM(OFFSET(INDIRECT("'"&amp;B132&amp;"'!A1"),I132+L132,1)))</f>
        <v>Guaporé</v>
      </c>
      <c r="F132" t="str" cm="1">
        <f t="array" aca="1" ref="F132" ca="1">TRIM(SUBSTITUTE(INDEX(INDIRECT("'"&amp;B132&amp;"'!A1:A1000"),H132),"Sub-bacia modelada:",""))</f>
        <v>Guaporé</v>
      </c>
      <c r="G132" t="str">
        <f t="shared" ca="1" si="12"/>
        <v>BASE - RESERVATÓRIO</v>
      </c>
      <c r="H132" cm="1">
        <f t="array" aca="1" ref="H132" ca="1">SMALL(ROW(INDIRECT("'"&amp;B132&amp;"'!A1:A1000"))*IF(ISNUMBER(FIND("Sub-bacia modelada:",INDIRECT("'"&amp;B132&amp;"'!A1:A1000"))),1,9999),RESUMO!A132)</f>
        <v>265</v>
      </c>
      <c r="I132">
        <f t="shared" ca="1" si="14"/>
        <v>268</v>
      </c>
      <c r="J132">
        <f t="shared" ca="1" si="15"/>
        <v>272</v>
      </c>
      <c r="K132">
        <f t="shared" ca="1" si="16"/>
        <v>1</v>
      </c>
      <c r="L132">
        <f ca="1">COUNTIF($F$1:F132,F132)</f>
        <v>1</v>
      </c>
      <c r="M132" cm="1">
        <f t="array" aca="1" ref="M132" ca="1">IF(Tabela2[[#This Row],[TIPO]]&lt;&gt;"BASE - POSTO FLU",_xlfn.XLOOKUP(Tabela2[[#This Row],[SUBBACIA]],INDIRECT("'"&amp;Tabela2[[#This Row],[MODELO]]&amp;"'!B1:B5000"),INDIRECT("'"&amp;Tabela2[[#This Row],[MODELO]]&amp;"'!A1:A5000")),"")</f>
        <v>296</v>
      </c>
      <c r="N132" t="str" cm="1">
        <f t="array" aca="1" ref="N13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2" t="str" cm="1">
        <f t="array" aca="1" ref="O13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PSATGUAP</v>
      </c>
    </row>
    <row r="133" spans="1:15" x14ac:dyDescent="0.25">
      <c r="A133">
        <f t="shared" ca="1" si="18"/>
        <v>14</v>
      </c>
      <c r="B133" t="s">
        <v>273</v>
      </c>
      <c r="C133" t="s">
        <v>274</v>
      </c>
      <c r="D133" t="s">
        <v>276</v>
      </c>
      <c r="E133" t="str" cm="1">
        <f t="array" aca="1" ref="E133" ca="1">IF(K133=0,F133,TRIM(OFFSET(INDIRECT("'"&amp;B133&amp;"'!A1"),I133+L133,1)))</f>
        <v>Dardanelos</v>
      </c>
      <c r="F133" t="str" cm="1">
        <f t="array" aca="1" ref="F133" ca="1">TRIM(SUBSTITUTE(INDEX(INDIRECT("'"&amp;B133&amp;"'!A1:A1000"),H133),"Sub-bacia modelada:",""))</f>
        <v>Dardanelos</v>
      </c>
      <c r="G133" t="str">
        <f t="shared" ca="1" si="12"/>
        <v>BASE - RESERVATÓRIO</v>
      </c>
      <c r="H133" cm="1">
        <f t="array" aca="1" ref="H133" ca="1">SMALL(ROW(INDIRECT("'"&amp;B133&amp;"'!A1:A1000"))*IF(ISNUMBER(FIND("Sub-bacia modelada:",INDIRECT("'"&amp;B133&amp;"'!A1:A1000"))),1,9999),RESUMO!A133)</f>
        <v>286</v>
      </c>
      <c r="I133">
        <f t="shared" ref="I133:I162" ca="1" si="19">MATCH("Código",INDIRECT("'"&amp;B133&amp;"'!A"&amp;H133&amp;":A"&amp;H133+20),0)+H133-1</f>
        <v>289</v>
      </c>
      <c r="J133">
        <f t="shared" ref="J133:J162" ca="1" si="20">MATCH("Código",INDIRECT("'"&amp;B133&amp;"'!A"&amp;I133+1&amp;":A"&amp;H133+20),0)+I133</f>
        <v>293</v>
      </c>
      <c r="K133">
        <f t="shared" ref="K133:K161" ca="1" si="21">COUNT(INDIRECT("'"&amp;B133&amp;"'!A"&amp;I133&amp;":A"&amp;J133))</f>
        <v>1</v>
      </c>
      <c r="L133">
        <f ca="1">COUNTIF($F$1:F133,F133)</f>
        <v>1</v>
      </c>
      <c r="M133" cm="1">
        <f t="array" aca="1" ref="M133" ca="1">IF(Tabela2[[#This Row],[TIPO]]&lt;&gt;"BASE - POSTO FLU",_xlfn.XLOOKUP(Tabela2[[#This Row],[SUBBACIA]],INDIRECT("'"&amp;Tabela2[[#This Row],[MODELO]]&amp;"'!B1:B5000"),INDIRECT("'"&amp;Tabela2[[#This Row],[MODELO]]&amp;"'!A1:A5000")),"")</f>
        <v>291</v>
      </c>
      <c r="N133" t="str" cm="1">
        <f t="array" aca="1" ref="N13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3" t="str" cm="1">
        <f t="array" aca="1" ref="O13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PSATDARD</v>
      </c>
    </row>
    <row r="134" spans="1:15" x14ac:dyDescent="0.25">
      <c r="A134">
        <f t="shared" ca="1" si="18"/>
        <v>15</v>
      </c>
      <c r="B134" t="s">
        <v>273</v>
      </c>
      <c r="C134" t="s">
        <v>274</v>
      </c>
      <c r="D134" t="s">
        <v>276</v>
      </c>
      <c r="E134" t="str" cm="1">
        <f t="array" aca="1" ref="E134" ca="1">IF(K134=0,F134,TRIM(OFFSET(INDIRECT("'"&amp;B134&amp;"'!A1"),I134+L134,1)))</f>
        <v>Samuel</v>
      </c>
      <c r="F134" t="str" cm="1">
        <f t="array" aca="1" ref="F134" ca="1">TRIM(SUBSTITUTE(INDEX(INDIRECT("'"&amp;B134&amp;"'!A1:A1000"),H134),"Sub-bacia modelada:",""))</f>
        <v>Samuel</v>
      </c>
      <c r="G134" t="str">
        <f t="shared" ref="G134:G162" ca="1" si="22">IF(K134=0,"BASE - POSTO FLU",IF(OR(E134=F134,K134=1),"BASE - RESERVATÓRIO","NÃO BASE"))</f>
        <v>BASE - RESERVATÓRIO</v>
      </c>
      <c r="H134" cm="1">
        <f t="array" aca="1" ref="H134" ca="1">SMALL(ROW(INDIRECT("'"&amp;B134&amp;"'!A1:A1000"))*IF(ISNUMBER(FIND("Sub-bacia modelada:",INDIRECT("'"&amp;B134&amp;"'!A1:A1000"))),1,9999),RESUMO!A134)</f>
        <v>307</v>
      </c>
      <c r="I134">
        <f t="shared" ca="1" si="19"/>
        <v>310</v>
      </c>
      <c r="J134">
        <f t="shared" ca="1" si="20"/>
        <v>314</v>
      </c>
      <c r="K134">
        <f t="shared" ca="1" si="21"/>
        <v>1</v>
      </c>
      <c r="L134">
        <f ca="1">COUNTIF($F$1:F134,F134)</f>
        <v>1</v>
      </c>
      <c r="M134" cm="1">
        <f t="array" aca="1" ref="M134" ca="1">IF(Tabela2[[#This Row],[TIPO]]&lt;&gt;"BASE - POSTO FLU",_xlfn.XLOOKUP(Tabela2[[#This Row],[SUBBACIA]],INDIRECT("'"&amp;Tabela2[[#This Row],[MODELO]]&amp;"'!B1:B5000"),INDIRECT("'"&amp;Tabela2[[#This Row],[MODELO]]&amp;"'!A1:A5000")),"")</f>
        <v>279</v>
      </c>
      <c r="N134" t="str" cm="1">
        <f t="array" aca="1" ref="N13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4" t="str" cm="1">
        <f t="array" aca="1" ref="O13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PSATSAMU</v>
      </c>
    </row>
    <row r="135" spans="1:15" x14ac:dyDescent="0.25">
      <c r="A135">
        <f t="shared" ca="1" si="18"/>
        <v>16</v>
      </c>
      <c r="B135" t="s">
        <v>273</v>
      </c>
      <c r="C135" t="s">
        <v>274</v>
      </c>
      <c r="D135" t="s">
        <v>276</v>
      </c>
      <c r="E135" t="str" cm="1">
        <f t="array" aca="1" ref="E135" ca="1">IF(K135=0,F135,TRIM(OFFSET(INDIRECT("'"&amp;B135&amp;"'!A1"),I135+L135,1)))</f>
        <v>Rondon II</v>
      </c>
      <c r="F135" t="str" cm="1">
        <f t="array" aca="1" ref="F135" ca="1">TRIM(SUBSTITUTE(INDEX(INDIRECT("'"&amp;B135&amp;"'!A1:A1000"),H135),"Sub-bacia modelada:",""))</f>
        <v>Rondon II</v>
      </c>
      <c r="G135" t="str">
        <f t="shared" ca="1" si="22"/>
        <v>BASE - RESERVATÓRIO</v>
      </c>
      <c r="H135" cm="1">
        <f t="array" aca="1" ref="H135" ca="1">SMALL(ROW(INDIRECT("'"&amp;B135&amp;"'!A1:A1000"))*IF(ISNUMBER(FIND("Sub-bacia modelada:",INDIRECT("'"&amp;B135&amp;"'!A1:A1000"))),1,9999),RESUMO!A135)</f>
        <v>328</v>
      </c>
      <c r="I135">
        <f t="shared" ca="1" si="19"/>
        <v>331</v>
      </c>
      <c r="J135">
        <f t="shared" ca="1" si="20"/>
        <v>335</v>
      </c>
      <c r="K135">
        <f t="shared" ca="1" si="21"/>
        <v>1</v>
      </c>
      <c r="L135">
        <f ca="1">COUNTIF($F$1:F135,F135)</f>
        <v>1</v>
      </c>
      <c r="M135" cm="1">
        <f t="array" aca="1" ref="M135" ca="1">IF(Tabela2[[#This Row],[TIPO]]&lt;&gt;"BASE - POSTO FLU",_xlfn.XLOOKUP(Tabela2[[#This Row],[SUBBACIA]],INDIRECT("'"&amp;Tabela2[[#This Row],[MODELO]]&amp;"'!B1:B5000"),INDIRECT("'"&amp;Tabela2[[#This Row],[MODELO]]&amp;"'!A1:A5000")),"")</f>
        <v>145</v>
      </c>
      <c r="N135" t="str" cm="1">
        <f t="array" aca="1" ref="N13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5" t="str" cm="1">
        <f t="array" aca="1" ref="O13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PSATROND</v>
      </c>
    </row>
    <row r="136" spans="1:15" x14ac:dyDescent="0.25">
      <c r="A136">
        <f t="shared" ca="1" si="18"/>
        <v>17</v>
      </c>
      <c r="B136" t="s">
        <v>273</v>
      </c>
      <c r="C136" t="s">
        <v>274</v>
      </c>
      <c r="D136" t="s">
        <v>277</v>
      </c>
      <c r="E136" t="str" cm="1">
        <f t="array" aca="1" ref="E136" ca="1">IF(K136=0,F136,TRIM(OFFSET(INDIRECT("'"&amp;B136&amp;"'!A1"),I136+L136,1)))</f>
        <v>Pimental</v>
      </c>
      <c r="F136" t="str" cm="1">
        <f t="array" aca="1" ref="F136" ca="1">TRIM(SUBSTITUTE(INDEX(INDIRECT("'"&amp;B136&amp;"'!A1:A1000"),H136),"Sub-bacia modelada:",""))</f>
        <v>Pimental</v>
      </c>
      <c r="G136" t="str">
        <f t="shared" ca="1" si="22"/>
        <v>BASE - RESERVATÓRIO</v>
      </c>
      <c r="H136" cm="1">
        <f t="array" aca="1" ref="H136" ca="1">SMALL(ROW(INDIRECT("'"&amp;B136&amp;"'!A1:A1000"))*IF(ISNUMBER(FIND("Sub-bacia modelada:",INDIRECT("'"&amp;B136&amp;"'!A1:A1000"))),1,9999),RESUMO!A136)</f>
        <v>349</v>
      </c>
      <c r="I136">
        <f t="shared" ca="1" si="19"/>
        <v>352</v>
      </c>
      <c r="J136">
        <f t="shared" ca="1" si="20"/>
        <v>356</v>
      </c>
      <c r="K136">
        <f t="shared" ca="1" si="21"/>
        <v>1</v>
      </c>
      <c r="L136">
        <f ca="1">COUNTIF($F$1:F136,F136)</f>
        <v>1</v>
      </c>
      <c r="M136" cm="1">
        <f t="array" aca="1" ref="M136" ca="1">IF(Tabela2[[#This Row],[TIPO]]&lt;&gt;"BASE - POSTO FLU",_xlfn.XLOOKUP(Tabela2[[#This Row],[SUBBACIA]],INDIRECT("'"&amp;Tabela2[[#This Row],[MODELO]]&amp;"'!B1:B5000"),INDIRECT("'"&amp;Tabela2[[#This Row],[MODELO]]&amp;"'!A1:A5000")),"")</f>
        <v>288</v>
      </c>
      <c r="N136" t="str" cm="1">
        <f t="array" aca="1" ref="N13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6" t="str" cm="1">
        <f t="array" aca="1" ref="O13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PSATPIME</v>
      </c>
    </row>
    <row r="137" spans="1:15" x14ac:dyDescent="0.25">
      <c r="A137">
        <f t="shared" ca="1" si="18"/>
        <v>18</v>
      </c>
      <c r="B137" t="s">
        <v>273</v>
      </c>
      <c r="C137" t="s">
        <v>274</v>
      </c>
      <c r="D137" t="s">
        <v>278</v>
      </c>
      <c r="E137" t="str" cm="1">
        <f t="array" aca="1" ref="E137" ca="1">IF(K137=0,F137,TRIM(OFFSET(INDIRECT("'"&amp;B137&amp;"'!A1"),I137+L137,1)))</f>
        <v>Sinop</v>
      </c>
      <c r="F137" t="str" cm="1">
        <f t="array" aca="1" ref="F137" ca="1">TRIM(SUBSTITUTE(INDEX(INDIRECT("'"&amp;B137&amp;"'!A1:A1000"),H137),"Sub-bacia modelada:",""))</f>
        <v>Colíder</v>
      </c>
      <c r="G137" t="str">
        <f t="shared" ca="1" si="22"/>
        <v>NÃO BASE</v>
      </c>
      <c r="H137" cm="1">
        <f t="array" aca="1" ref="H137" ca="1">SMALL(ROW(INDIRECT("'"&amp;B137&amp;"'!A1:A1000"))*IF(ISNUMBER(FIND("Sub-bacia modelada:",INDIRECT("'"&amp;B137&amp;"'!A1:A1000"))),1,9999),RESUMO!A137)</f>
        <v>372</v>
      </c>
      <c r="I137">
        <f t="shared" ca="1" si="19"/>
        <v>375</v>
      </c>
      <c r="J137">
        <f t="shared" ca="1" si="20"/>
        <v>380</v>
      </c>
      <c r="K137">
        <f t="shared" ca="1" si="21"/>
        <v>2</v>
      </c>
      <c r="L137">
        <f ca="1">COUNTIF($F$1:F137,F137)</f>
        <v>1</v>
      </c>
      <c r="M137" cm="1">
        <f t="array" aca="1" ref="M137" ca="1">IF(Tabela2[[#This Row],[TIPO]]&lt;&gt;"BASE - POSTO FLU",_xlfn.XLOOKUP(Tabela2[[#This Row],[SUBBACIA]],INDIRECT("'"&amp;Tabela2[[#This Row],[MODELO]]&amp;"'!B1:B5000"),INDIRECT("'"&amp;Tabela2[[#This Row],[MODELO]]&amp;"'!A1:A5000")),"")</f>
        <v>227</v>
      </c>
      <c r="N137" t="str" cm="1">
        <f t="array" aca="1" ref="N13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7" t="str" cm="1">
        <f t="array" aca="1" ref="O13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38" spans="1:15" x14ac:dyDescent="0.25">
      <c r="A138">
        <f t="shared" ca="1" si="18"/>
        <v>18</v>
      </c>
      <c r="B138" t="s">
        <v>273</v>
      </c>
      <c r="C138" t="s">
        <v>274</v>
      </c>
      <c r="D138" t="s">
        <v>278</v>
      </c>
      <c r="E138" t="str" cm="1">
        <f t="array" aca="1" ref="E138" ca="1">IF(K138=0,F138,TRIM(OFFSET(INDIRECT("'"&amp;B138&amp;"'!A1"),I138+L138,1)))</f>
        <v>Colíder</v>
      </c>
      <c r="F138" t="str" cm="1">
        <f t="array" aca="1" ref="F138" ca="1">TRIM(SUBSTITUTE(INDEX(INDIRECT("'"&amp;B138&amp;"'!A1:A1000"),H138),"Sub-bacia modelada:",""))</f>
        <v>Colíder</v>
      </c>
      <c r="G138" t="str">
        <f t="shared" ca="1" si="22"/>
        <v>BASE - RESERVATÓRIO</v>
      </c>
      <c r="H138" cm="1">
        <f t="array" aca="1" ref="H138" ca="1">SMALL(ROW(INDIRECT("'"&amp;B138&amp;"'!A1:A1000"))*IF(ISNUMBER(FIND("Sub-bacia modelada:",INDIRECT("'"&amp;B138&amp;"'!A1:A1000"))),1,9999),RESUMO!A138)</f>
        <v>372</v>
      </c>
      <c r="I138">
        <f t="shared" ca="1" si="19"/>
        <v>375</v>
      </c>
      <c r="J138">
        <f t="shared" ca="1" si="20"/>
        <v>380</v>
      </c>
      <c r="K138">
        <f t="shared" ca="1" si="21"/>
        <v>2</v>
      </c>
      <c r="L138">
        <f ca="1">COUNTIF($F$1:F138,F138)</f>
        <v>2</v>
      </c>
      <c r="M138" cm="1">
        <f t="array" aca="1" ref="M138" ca="1">IF(Tabela2[[#This Row],[TIPO]]&lt;&gt;"BASE - POSTO FLU",_xlfn.XLOOKUP(Tabela2[[#This Row],[SUBBACIA]],INDIRECT("'"&amp;Tabela2[[#This Row],[MODELO]]&amp;"'!B1:B5000"),INDIRECT("'"&amp;Tabela2[[#This Row],[MODELO]]&amp;"'!A1:A5000")),"")</f>
        <v>228</v>
      </c>
      <c r="N138" t="str" cm="1">
        <f t="array" aca="1" ref="N13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8" t="str" cm="1">
        <f t="array" aca="1" ref="O13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PSATCOLI</v>
      </c>
    </row>
    <row r="139" spans="1:15" x14ac:dyDescent="0.25">
      <c r="A139">
        <f t="shared" ca="1" si="18"/>
        <v>19</v>
      </c>
      <c r="B139" t="s">
        <v>273</v>
      </c>
      <c r="C139" t="s">
        <v>274</v>
      </c>
      <c r="D139" t="s">
        <v>278</v>
      </c>
      <c r="E139" t="str" cm="1">
        <f t="array" aca="1" ref="E139" ca="1">IF(K139=0,F139,TRIM(OFFSET(INDIRECT("'"&amp;B139&amp;"'!A1"),I139+L139,1)))</f>
        <v>Teles Pires</v>
      </c>
      <c r="F139" t="str" cm="1">
        <f t="array" aca="1" ref="F139" ca="1">TRIM(SUBSTITUTE(INDEX(INDIRECT("'"&amp;B139&amp;"'!A1:A1000"),H139),"Sub-bacia modelada:",""))</f>
        <v>São Manoel</v>
      </c>
      <c r="G139" t="str">
        <f t="shared" ca="1" si="22"/>
        <v>NÃO BASE</v>
      </c>
      <c r="H139" cm="1">
        <f t="array" aca="1" ref="H139" ca="1">SMALL(ROW(INDIRECT("'"&amp;B139&amp;"'!A1:A1000"))*IF(ISNUMBER(FIND("Sub-bacia modelada:",INDIRECT("'"&amp;B139&amp;"'!A1:A1000"))),1,9999),RESUMO!A139)</f>
        <v>394</v>
      </c>
      <c r="I139">
        <f t="shared" ca="1" si="19"/>
        <v>397</v>
      </c>
      <c r="J139">
        <f t="shared" ca="1" si="20"/>
        <v>402</v>
      </c>
      <c r="K139">
        <f t="shared" ca="1" si="21"/>
        <v>2</v>
      </c>
      <c r="L139">
        <f ca="1">COUNTIF($F$1:F139,F139)</f>
        <v>1</v>
      </c>
      <c r="M139" cm="1">
        <f t="array" aca="1" ref="M139" ca="1">IF(Tabela2[[#This Row],[TIPO]]&lt;&gt;"BASE - POSTO FLU",_xlfn.XLOOKUP(Tabela2[[#This Row],[SUBBACIA]],INDIRECT("'"&amp;Tabela2[[#This Row],[MODELO]]&amp;"'!B1:B5000"),INDIRECT("'"&amp;Tabela2[[#This Row],[MODELO]]&amp;"'!A1:A5000")),"")</f>
        <v>229</v>
      </c>
      <c r="N139" t="str" cm="1">
        <f t="array" aca="1" ref="N13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39" t="str" cm="1">
        <f t="array" aca="1" ref="O13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40" spans="1:15" x14ac:dyDescent="0.25">
      <c r="A140">
        <f t="shared" ca="1" si="18"/>
        <v>19</v>
      </c>
      <c r="B140" t="s">
        <v>273</v>
      </c>
      <c r="C140" t="s">
        <v>274</v>
      </c>
      <c r="D140" t="s">
        <v>278</v>
      </c>
      <c r="E140" t="str" cm="1">
        <f t="array" aca="1" ref="E140" ca="1">IF(K140=0,F140,TRIM(OFFSET(INDIRECT("'"&amp;B140&amp;"'!A1"),I140+L140,1)))</f>
        <v>São Manoel</v>
      </c>
      <c r="F140" t="str" cm="1">
        <f t="array" aca="1" ref="F140" ca="1">TRIM(SUBSTITUTE(INDEX(INDIRECT("'"&amp;B140&amp;"'!A1:A1000"),H140),"Sub-bacia modelada:",""))</f>
        <v>São Manoel</v>
      </c>
      <c r="G140" t="str">
        <f t="shared" ca="1" si="22"/>
        <v>BASE - RESERVATÓRIO</v>
      </c>
      <c r="H140" cm="1">
        <f t="array" aca="1" ref="H140" ca="1">SMALL(ROW(INDIRECT("'"&amp;B140&amp;"'!A1:A1000"))*IF(ISNUMBER(FIND("Sub-bacia modelada:",INDIRECT("'"&amp;B140&amp;"'!A1:A1000"))),1,9999),RESUMO!A140)</f>
        <v>394</v>
      </c>
      <c r="I140">
        <f t="shared" ca="1" si="19"/>
        <v>397</v>
      </c>
      <c r="J140">
        <f t="shared" ca="1" si="20"/>
        <v>402</v>
      </c>
      <c r="K140">
        <f t="shared" ca="1" si="21"/>
        <v>2</v>
      </c>
      <c r="L140">
        <f ca="1">COUNTIF($F$1:F140,F140)</f>
        <v>2</v>
      </c>
      <c r="M140" cm="1">
        <f t="array" aca="1" ref="M140" ca="1">IF(Tabela2[[#This Row],[TIPO]]&lt;&gt;"BASE - POSTO FLU",_xlfn.XLOOKUP(Tabela2[[#This Row],[SUBBACIA]],INDIRECT("'"&amp;Tabela2[[#This Row],[MODELO]]&amp;"'!B1:B5000"),INDIRECT("'"&amp;Tabela2[[#This Row],[MODELO]]&amp;"'!A1:A5000")),"")</f>
        <v>230</v>
      </c>
      <c r="N140" t="str" cm="1">
        <f t="array" aca="1" ref="N14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0" t="str" cm="1">
        <f t="array" aca="1" ref="O14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PSATSAEL</v>
      </c>
    </row>
    <row r="141" spans="1:15" x14ac:dyDescent="0.25">
      <c r="A141">
        <f t="shared" ca="1" si="18"/>
        <v>20</v>
      </c>
      <c r="B141" t="s">
        <v>273</v>
      </c>
      <c r="C141" t="s">
        <v>274</v>
      </c>
      <c r="D141" t="s">
        <v>278</v>
      </c>
      <c r="E141" t="str" cm="1">
        <f t="array" aca="1" ref="E141" ca="1">IF(K141=0,F141,TRIM(OFFSET(INDIRECT("'"&amp;B141&amp;"'!A1"),I141+L141,1)))</f>
        <v>Juruena</v>
      </c>
      <c r="F141" t="str" cm="1">
        <f t="array" aca="1" ref="F141" ca="1">TRIM(SUBSTITUTE(INDEX(INDIRECT("'"&amp;B141&amp;"'!A1:A1000"),H141),"Sub-bacia modelada:",""))</f>
        <v>Juruena</v>
      </c>
      <c r="G141" t="str">
        <f t="shared" ca="1" si="22"/>
        <v>BASE - RESERVATÓRIO</v>
      </c>
      <c r="H141" cm="1">
        <f t="array" aca="1" ref="H141" ca="1">SMALL(ROW(INDIRECT("'"&amp;B141&amp;"'!A1:A1000"))*IF(ISNUMBER(FIND("Sub-bacia modelada:",INDIRECT("'"&amp;B141&amp;"'!A1:A1000"))),1,9999),RESUMO!A141)</f>
        <v>416</v>
      </c>
      <c r="I141">
        <f t="shared" ca="1" si="19"/>
        <v>419</v>
      </c>
      <c r="J141">
        <f t="shared" ca="1" si="20"/>
        <v>423</v>
      </c>
      <c r="K141">
        <f t="shared" ca="1" si="21"/>
        <v>1</v>
      </c>
      <c r="L141">
        <f ca="1">COUNTIF($F$1:F141,F141)</f>
        <v>1</v>
      </c>
      <c r="M141" cm="1">
        <f t="array" aca="1" ref="M141" ca="1">IF(Tabela2[[#This Row],[TIPO]]&lt;&gt;"BASE - POSTO FLU",_xlfn.XLOOKUP(Tabela2[[#This Row],[SUBBACIA]],INDIRECT("'"&amp;Tabela2[[#This Row],[MODELO]]&amp;"'!B1:B5000"),INDIRECT("'"&amp;Tabela2[[#This Row],[MODELO]]&amp;"'!A1:A5000")),"")</f>
        <v>226</v>
      </c>
      <c r="N141" t="str" cm="1">
        <f t="array" aca="1" ref="N14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1" t="str" cm="1">
        <f t="array" aca="1" ref="O14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PSATJRN</v>
      </c>
    </row>
    <row r="142" spans="1:15" x14ac:dyDescent="0.25">
      <c r="A142">
        <f t="shared" ca="1" si="18"/>
        <v>21</v>
      </c>
      <c r="B142" t="s">
        <v>273</v>
      </c>
      <c r="C142" t="s">
        <v>274</v>
      </c>
      <c r="D142" t="s">
        <v>278</v>
      </c>
      <c r="E142" t="str" cm="1">
        <f t="array" aca="1" ref="E142" ca="1">IF(K142=0,F142,TRIM(OFFSET(INDIRECT("'"&amp;B142&amp;"'!A1"),I142+L142,1)))</f>
        <v>Salto Apiacas</v>
      </c>
      <c r="F142" t="str" cm="1">
        <f t="array" aca="1" ref="F142" ca="1">TRIM(SUBSTITUTE(INDEX(INDIRECT("'"&amp;B142&amp;"'!A1:A1000"),H142),"Sub-bacia modelada:",""))</f>
        <v>Salto Apiacas</v>
      </c>
      <c r="G142" t="str">
        <f t="shared" ca="1" si="22"/>
        <v>BASE - RESERVATÓRIO</v>
      </c>
      <c r="H142" cm="1">
        <f t="array" aca="1" ref="H142" ca="1">SMALL(ROW(INDIRECT("'"&amp;B142&amp;"'!A1:A1000"))*IF(ISNUMBER(FIND("Sub-bacia modelada:",INDIRECT("'"&amp;B142&amp;"'!A1:A1000"))),1,9999),RESUMO!A142)</f>
        <v>437</v>
      </c>
      <c r="I142">
        <f t="shared" ca="1" si="19"/>
        <v>440</v>
      </c>
      <c r="J142">
        <f t="shared" ca="1" si="20"/>
        <v>444</v>
      </c>
      <c r="K142">
        <f t="shared" ca="1" si="21"/>
        <v>1</v>
      </c>
      <c r="L142">
        <f ca="1">COUNTIF($F$1:F142,F142)</f>
        <v>1</v>
      </c>
      <c r="M142" cm="1">
        <f t="array" aca="1" ref="M142" ca="1">IF(Tabela2[[#This Row],[TIPO]]&lt;&gt;"BASE - POSTO FLU",_xlfn.XLOOKUP(Tabela2[[#This Row],[SUBBACIA]],INDIRECT("'"&amp;Tabela2[[#This Row],[MODELO]]&amp;"'!B1:B5000"),INDIRECT("'"&amp;Tabela2[[#This Row],[MODELO]]&amp;"'!A1:A5000")),"")</f>
        <v>225</v>
      </c>
      <c r="N142" t="str" cm="1">
        <f t="array" aca="1" ref="N14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2" t="str" cm="1">
        <f t="array" aca="1" ref="O14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PSATAPI</v>
      </c>
    </row>
    <row r="143" spans="1:15" x14ac:dyDescent="0.25">
      <c r="A143">
        <f t="shared" ca="1" si="18"/>
        <v>22</v>
      </c>
      <c r="B143" t="s">
        <v>273</v>
      </c>
      <c r="C143" t="s">
        <v>274</v>
      </c>
      <c r="D143" t="s">
        <v>279</v>
      </c>
      <c r="E143" t="str" cm="1">
        <f t="array" aca="1" ref="E143" ca="1">IF(K143=0,F143,TRIM(OFFSET(INDIRECT("'"&amp;B143&amp;"'!A1"),I143+L143,1)))</f>
        <v>Balbina</v>
      </c>
      <c r="F143" t="str" cm="1">
        <f t="array" aca="1" ref="F143" ca="1">TRIM(SUBSTITUTE(INDEX(INDIRECT("'"&amp;B143&amp;"'!A1:A1000"),H143),"Sub-bacia modelada:",""))</f>
        <v>Balbina</v>
      </c>
      <c r="G143" t="str">
        <f t="shared" ca="1" si="22"/>
        <v>BASE - RESERVATÓRIO</v>
      </c>
      <c r="H143" cm="1">
        <f t="array" aca="1" ref="H143" ca="1">SMALL(ROW(INDIRECT("'"&amp;B143&amp;"'!A1:A1000"))*IF(ISNUMBER(FIND("Sub-bacia modelada:",INDIRECT("'"&amp;B143&amp;"'!A1:A1000"))),1,9999),RESUMO!A143)</f>
        <v>458</v>
      </c>
      <c r="I143">
        <f t="shared" ca="1" si="19"/>
        <v>461</v>
      </c>
      <c r="J143">
        <f t="shared" ca="1" si="20"/>
        <v>465</v>
      </c>
      <c r="K143">
        <f t="shared" ca="1" si="21"/>
        <v>1</v>
      </c>
      <c r="L143">
        <f ca="1">COUNTIF($F$1:F143,F143)</f>
        <v>1</v>
      </c>
      <c r="M143" cm="1">
        <f t="array" aca="1" ref="M143" ca="1">IF(Tabela2[[#This Row],[TIPO]]&lt;&gt;"BASE - POSTO FLU",_xlfn.XLOOKUP(Tabela2[[#This Row],[SUBBACIA]],INDIRECT("'"&amp;Tabela2[[#This Row],[MODELO]]&amp;"'!B1:B5000"),INDIRECT("'"&amp;Tabela2[[#This Row],[MODELO]]&amp;"'!A1:A5000")),"")</f>
        <v>269</v>
      </c>
      <c r="N143" t="str" cm="1">
        <f t="array" aca="1" ref="N14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3" t="str" cm="1">
        <f t="array" aca="1" ref="O14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PSATBALB</v>
      </c>
    </row>
    <row r="144" spans="1:15" x14ac:dyDescent="0.25">
      <c r="A144">
        <f t="shared" ca="1" si="18"/>
        <v>23</v>
      </c>
      <c r="B144" t="s">
        <v>273</v>
      </c>
      <c r="C144" t="s">
        <v>274</v>
      </c>
      <c r="D144" t="s">
        <v>578</v>
      </c>
      <c r="E144" t="str" cm="1">
        <f t="array" aca="1" ref="E144" ca="1">IF(K144=0,F144,TRIM(OFFSET(INDIRECT("'"&amp;B144&amp;"'!A1"),I144+L144,1)))</f>
        <v>Curua-Una</v>
      </c>
      <c r="F144" t="str" cm="1">
        <f t="array" aca="1" ref="F144" ca="1">TRIM(SUBSTITUTE(INDEX(INDIRECT("'"&amp;B144&amp;"'!A1:A1000"),H144),"Sub-bacia modelada:",""))</f>
        <v>Curuá-Una</v>
      </c>
      <c r="G144" t="str">
        <f t="shared" ca="1" si="22"/>
        <v>BASE - RESERVATÓRIO</v>
      </c>
      <c r="H144" cm="1">
        <f t="array" aca="1" ref="H144" ca="1">SMALL(ROW(INDIRECT("'"&amp;B144&amp;"'!A1:A1000"))*IF(ISNUMBER(FIND("Sub-bacia modelada:",INDIRECT("'"&amp;B144&amp;"'!A1:A1000"))),1,9999),RESUMO!A144)</f>
        <v>479</v>
      </c>
      <c r="I144">
        <f t="shared" ca="1" si="19"/>
        <v>482</v>
      </c>
      <c r="J144">
        <f t="shared" ca="1" si="20"/>
        <v>486</v>
      </c>
      <c r="K144">
        <f t="shared" ca="1" si="21"/>
        <v>1</v>
      </c>
      <c r="L144">
        <f ca="1">COUNTIF($F$1:F144,F144)</f>
        <v>1</v>
      </c>
      <c r="M144" cm="1">
        <f t="array" aca="1" ref="M144" ca="1">IF(Tabela2[[#This Row],[TIPO]]&lt;&gt;"BASE - POSTO FLU",_xlfn.XLOOKUP(Tabela2[[#This Row],[SUBBACIA]],INDIRECT("'"&amp;Tabela2[[#This Row],[MODELO]]&amp;"'!B1:B5000"),INDIRECT("'"&amp;Tabela2[[#This Row],[MODELO]]&amp;"'!A1:A5000")),"")</f>
        <v>277</v>
      </c>
      <c r="N144" t="str" cm="1">
        <f t="array" aca="1" ref="N14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4" t="str" cm="1">
        <f t="array" aca="1" ref="O14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PSATCUNA</v>
      </c>
    </row>
    <row r="145" spans="1:15" x14ac:dyDescent="0.25">
      <c r="A145">
        <f t="shared" ca="1" si="18"/>
        <v>24</v>
      </c>
      <c r="B145" t="s">
        <v>273</v>
      </c>
      <c r="C145" t="s">
        <v>274</v>
      </c>
      <c r="D145" t="s">
        <v>280</v>
      </c>
      <c r="E145" t="str" cm="1">
        <f t="array" aca="1" ref="E145" ca="1">IF(K145=0,F145,TRIM(OFFSET(INDIRECT("'"&amp;B145&amp;"'!A1"),I145+L145,1)))</f>
        <v>Jari</v>
      </c>
      <c r="F145" t="str" cm="1">
        <f t="array" aca="1" ref="F145" ca="1">TRIM(SUBSTITUTE(INDEX(INDIRECT("'"&amp;B145&amp;"'!A1:A1000"),H145),"Sub-bacia modelada:",""))</f>
        <v>Santo Antonio do Jari</v>
      </c>
      <c r="G145" t="str">
        <f t="shared" ca="1" si="22"/>
        <v>BASE - RESERVATÓRIO</v>
      </c>
      <c r="H145" cm="1">
        <f t="array" aca="1" ref="H145" ca="1">SMALL(ROW(INDIRECT("'"&amp;B145&amp;"'!A1:A1000"))*IF(ISNUMBER(FIND("Sub-bacia modelada:",INDIRECT("'"&amp;B145&amp;"'!A1:A1000"))),1,9999),RESUMO!A145)</f>
        <v>500</v>
      </c>
      <c r="I145">
        <f t="shared" ca="1" si="19"/>
        <v>503</v>
      </c>
      <c r="J145">
        <f t="shared" ca="1" si="20"/>
        <v>507</v>
      </c>
      <c r="K145">
        <f t="shared" ca="1" si="21"/>
        <v>1</v>
      </c>
      <c r="L145">
        <f ca="1">COUNTIF($F$1:F145,F145)</f>
        <v>1</v>
      </c>
      <c r="M145" cm="1">
        <f t="array" aca="1" ref="M145" ca="1">IF(Tabela2[[#This Row],[TIPO]]&lt;&gt;"BASE - POSTO FLU",_xlfn.XLOOKUP(Tabela2[[#This Row],[SUBBACIA]],INDIRECT("'"&amp;Tabela2[[#This Row],[MODELO]]&amp;"'!B1:B5000"),INDIRECT("'"&amp;Tabela2[[#This Row],[MODELO]]&amp;"'!A1:A5000")),"")</f>
        <v>290</v>
      </c>
      <c r="N145" t="str" cm="1">
        <f t="array" aca="1" ref="N14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5" t="str" cm="1">
        <f t="array" aca="1" ref="O14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PSATJARI</v>
      </c>
    </row>
    <row r="146" spans="1:15" x14ac:dyDescent="0.25">
      <c r="A146">
        <f t="shared" ref="A146:A148" ca="1" si="23">IF(AND(K145&gt;1,L145&lt;&gt;K145),A145,A145+1)</f>
        <v>25</v>
      </c>
      <c r="B146" t="s">
        <v>273</v>
      </c>
      <c r="C146" t="s">
        <v>274</v>
      </c>
      <c r="D146" t="s">
        <v>281</v>
      </c>
      <c r="E146" t="str" cm="1">
        <f t="array" aca="1" ref="E146" ca="1">IF(K146=0,F146,TRIM(OFFSET(INDIRECT("'"&amp;B146&amp;"'!A1"),I146+L146,1)))</f>
        <v>Ferreira Gomes</v>
      </c>
      <c r="F146" t="str" cm="1">
        <f t="array" aca="1" ref="F146" ca="1">TRIM(SUBSTITUTE(INDEX(INDIRECT("'"&amp;B146&amp;"'!A1:A1000"),H146),"Sub-bacia modelada:",""))</f>
        <v>Ferreira Gomes</v>
      </c>
      <c r="G146" t="str">
        <f t="shared" ref="G146:G148" ca="1" si="24">IF(K146=0,"BASE - POSTO FLU",IF(OR(E146=F146,K146=1),"BASE - RESERVATÓRIO","NÃO BASE"))</f>
        <v>BASE - RESERVATÓRIO</v>
      </c>
      <c r="H146" cm="1">
        <f t="array" aca="1" ref="H146" ca="1">SMALL(ROW(INDIRECT("'"&amp;B146&amp;"'!A1:A1000"))*IF(ISNUMBER(FIND("Sub-bacia modelada:",INDIRECT("'"&amp;B146&amp;"'!A1:A1000"))),1,9999),RESUMO!A146)</f>
        <v>520</v>
      </c>
      <c r="I146">
        <f t="shared" ref="I146:I148" ca="1" si="25">MATCH("Código",INDIRECT("'"&amp;B146&amp;"'!A"&amp;H146&amp;":A"&amp;H146+20),0)+H146-1</f>
        <v>523</v>
      </c>
      <c r="J146">
        <f t="shared" ref="J146:J148" ca="1" si="26">MATCH("Código",INDIRECT("'"&amp;B146&amp;"'!A"&amp;I146+1&amp;":A"&amp;H146+20),0)+I146</f>
        <v>529</v>
      </c>
      <c r="K146">
        <f t="shared" ref="K146:K148" ca="1" si="27">COUNT(INDIRECT("'"&amp;B146&amp;"'!A"&amp;I146&amp;":A"&amp;J146))</f>
        <v>3</v>
      </c>
      <c r="L146">
        <f ca="1">COUNTIF($F$1:F146,F146)</f>
        <v>1</v>
      </c>
      <c r="M146" s="141" cm="1">
        <f t="array" aca="1" ref="M146" ca="1">IF(Tabela2[[#This Row],[TIPO]]&lt;&gt;"BASE - POSTO FLU",_xlfn.XLOOKUP(Tabela2[[#This Row],[SUBBACIA]],INDIRECT("'"&amp;Tabela2[[#This Row],[MODELO]]&amp;"'!B1:B5000"),INDIRECT("'"&amp;Tabela2[[#This Row],[MODELO]]&amp;"'!A1:A5000")),"")</f>
        <v>297</v>
      </c>
      <c r="N146" s="141" t="str" cm="1">
        <f t="array" aca="1" ref="N14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6" t="str" cm="1">
        <f t="array" aca="1" ref="O14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PSATFGOM</v>
      </c>
    </row>
    <row r="147" spans="1:15" x14ac:dyDescent="0.25">
      <c r="A147">
        <f t="shared" ca="1" si="23"/>
        <v>25</v>
      </c>
      <c r="B147" t="s">
        <v>273</v>
      </c>
      <c r="C147" t="s">
        <v>274</v>
      </c>
      <c r="D147" t="s">
        <v>281</v>
      </c>
      <c r="E147" t="str" cm="1">
        <f t="array" aca="1" ref="E147" ca="1">IF(K147=0,F147,TRIM(OFFSET(INDIRECT("'"&amp;B147&amp;"'!A1"),I147+L147,1)))</f>
        <v>Cachoeira Caldeirão</v>
      </c>
      <c r="F147" t="str" cm="1">
        <f t="array" aca="1" ref="F147" ca="1">TRIM(SUBSTITUTE(INDEX(INDIRECT("'"&amp;B147&amp;"'!A1:A1000"),H147),"Sub-bacia modelada:",""))</f>
        <v>Ferreira Gomes</v>
      </c>
      <c r="G147" t="str">
        <f t="shared" ca="1" si="24"/>
        <v>NÃO BASE</v>
      </c>
      <c r="H147" cm="1">
        <f t="array" aca="1" ref="H147" ca="1">SMALL(ROW(INDIRECT("'"&amp;B147&amp;"'!A1:A1000"))*IF(ISNUMBER(FIND("Sub-bacia modelada:",INDIRECT("'"&amp;B147&amp;"'!A1:A1000"))),1,9999),RESUMO!A147)</f>
        <v>520</v>
      </c>
      <c r="I147">
        <f t="shared" ca="1" si="25"/>
        <v>523</v>
      </c>
      <c r="J147">
        <f t="shared" ca="1" si="26"/>
        <v>529</v>
      </c>
      <c r="K147">
        <f t="shared" ca="1" si="27"/>
        <v>3</v>
      </c>
      <c r="L147">
        <f ca="1">COUNTIF($F$1:F147,F147)</f>
        <v>2</v>
      </c>
      <c r="M147" s="141" cm="1">
        <f t="array" aca="1" ref="M147" ca="1">IF(Tabela2[[#This Row],[TIPO]]&lt;&gt;"BASE - POSTO FLU",_xlfn.XLOOKUP(Tabela2[[#This Row],[SUBBACIA]],INDIRECT("'"&amp;Tabela2[[#This Row],[MODELO]]&amp;"'!B1:B5000"),INDIRECT("'"&amp;Tabela2[[#This Row],[MODELO]]&amp;"'!A1:A5000")),"")</f>
        <v>204</v>
      </c>
      <c r="N147" s="141" t="str" cm="1">
        <f t="array" aca="1" ref="N14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7" t="str" cm="1">
        <f t="array" aca="1" ref="O14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48" spans="1:15" x14ac:dyDescent="0.25">
      <c r="A148">
        <f t="shared" ca="1" si="23"/>
        <v>25</v>
      </c>
      <c r="B148" t="s">
        <v>273</v>
      </c>
      <c r="C148" t="s">
        <v>274</v>
      </c>
      <c r="D148" t="s">
        <v>281</v>
      </c>
      <c r="E148" t="str" cm="1">
        <f t="array" aca="1" ref="E148" ca="1">IF(K148=0,F148,TRIM(OFFSET(INDIRECT("'"&amp;B148&amp;"'!A1"),I148+L148,1)))</f>
        <v>Coaracy Nunes</v>
      </c>
      <c r="F148" t="str" cm="1">
        <f t="array" aca="1" ref="F148" ca="1">TRIM(SUBSTITUTE(INDEX(INDIRECT("'"&amp;B148&amp;"'!A1:A1000"),H148),"Sub-bacia modelada:",""))</f>
        <v>Ferreira Gomes</v>
      </c>
      <c r="G148" t="str">
        <f t="shared" ca="1" si="24"/>
        <v>NÃO BASE</v>
      </c>
      <c r="H148" cm="1">
        <f t="array" aca="1" ref="H148" ca="1">SMALL(ROW(INDIRECT("'"&amp;B148&amp;"'!A1:A1000"))*IF(ISNUMBER(FIND("Sub-bacia modelada:",INDIRECT("'"&amp;B148&amp;"'!A1:A1000"))),1,9999),RESUMO!A148)</f>
        <v>520</v>
      </c>
      <c r="I148">
        <f t="shared" ca="1" si="25"/>
        <v>523</v>
      </c>
      <c r="J148">
        <f t="shared" ca="1" si="26"/>
        <v>529</v>
      </c>
      <c r="K148">
        <f t="shared" ca="1" si="27"/>
        <v>3</v>
      </c>
      <c r="L148">
        <f ca="1">COUNTIF($F$1:F148,F148)</f>
        <v>3</v>
      </c>
      <c r="M148" s="141" cm="1">
        <f t="array" aca="1" ref="M148" ca="1">IF(Tabela2[[#This Row],[TIPO]]&lt;&gt;"BASE - POSTO FLU",_xlfn.XLOOKUP(Tabela2[[#This Row],[SUBBACIA]],INDIRECT("'"&amp;Tabela2[[#This Row],[MODELO]]&amp;"'!B1:B5000"),INDIRECT("'"&amp;Tabela2[[#This Row],[MODELO]]&amp;"'!A1:A5000")),"")</f>
        <v>280</v>
      </c>
      <c r="N148" s="141" t="str" cm="1">
        <f t="array" aca="1" ref="N14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8" t="str" cm="1">
        <f t="array" aca="1" ref="O14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49" spans="1:15" x14ac:dyDescent="0.25">
      <c r="A149">
        <v>1</v>
      </c>
      <c r="B149" t="s">
        <v>282</v>
      </c>
      <c r="C149" t="s">
        <v>283</v>
      </c>
      <c r="D149" t="s">
        <v>284</v>
      </c>
      <c r="E149" t="str" cm="1">
        <f t="array" aca="1" ref="E149" ca="1">IF(K149=0,F149,TRIM(OFFSET(INDIRECT("'"&amp;B149&amp;"'!A1"),I149+L149,1)))</f>
        <v>Itiquira I</v>
      </c>
      <c r="F149" t="str" cm="1">
        <f t="array" aca="1" ref="F149" ca="1">TRIM(SUBSTITUTE(INDEX(INDIRECT("'"&amp;B149&amp;"'!A1:A1000"),H149),"Sub-bacia modelada:",""))</f>
        <v>Itiquira</v>
      </c>
      <c r="G149" t="str">
        <f t="shared" ca="1" si="22"/>
        <v>BASE - RESERVATÓRIO</v>
      </c>
      <c r="H149" cm="1">
        <f t="array" aca="1" ref="H149" ca="1">SMALL(ROW(INDIRECT("'"&amp;B149&amp;"'!A1:A1000"))*IF(ISNUMBER(FIND("Sub-bacia modelada:",INDIRECT("'"&amp;B149&amp;"'!A1:A1000"))),1,9999),RESUMO!A149)</f>
        <v>2</v>
      </c>
      <c r="I149">
        <f t="shared" ca="1" si="19"/>
        <v>5</v>
      </c>
      <c r="J149">
        <f t="shared" ca="1" si="20"/>
        <v>9</v>
      </c>
      <c r="K149">
        <f t="shared" ca="1" si="21"/>
        <v>1</v>
      </c>
      <c r="L149">
        <f ca="1">COUNTIF($F$1:F149,F149)</f>
        <v>1</v>
      </c>
      <c r="M149" cm="1">
        <f t="array" aca="1" ref="M149" ca="1">IF(Tabela2[[#This Row],[TIPO]]&lt;&gt;"BASE - POSTO FLU",_xlfn.XLOOKUP(Tabela2[[#This Row],[SUBBACIA]],INDIRECT("'"&amp;Tabela2[[#This Row],[MODELO]]&amp;"'!B1:B5000"),INDIRECT("'"&amp;Tabela2[[#This Row],[MODELO]]&amp;"'!A1:A5000")),"")</f>
        <v>259</v>
      </c>
      <c r="N149" t="str" cm="1">
        <f t="array" aca="1" ref="N14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49" t="str" cm="1">
        <f t="array" aca="1" ref="O14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PSATITQ</v>
      </c>
    </row>
    <row r="150" spans="1:15" x14ac:dyDescent="0.25">
      <c r="A150">
        <f t="shared" ref="A150:A170" ca="1" si="28">IF(AND(K149&gt;1,L149&lt;&gt;K149),A149,A149+1)</f>
        <v>2</v>
      </c>
      <c r="B150" t="s">
        <v>282</v>
      </c>
      <c r="C150" t="s">
        <v>283</v>
      </c>
      <c r="D150" t="s">
        <v>284</v>
      </c>
      <c r="E150" t="str" cm="1">
        <f t="array" aca="1" ref="E150" ca="1">IF(K150=0,F150,TRIM(OFFSET(INDIRECT("'"&amp;B150&amp;"'!A1"),I150+L150,1)))</f>
        <v>Jauru</v>
      </c>
      <c r="F150" t="str" cm="1">
        <f t="array" aca="1" ref="F150" ca="1">TRIM(SUBSTITUTE(INDEX(INDIRECT("'"&amp;B150&amp;"'!A1:A1000"),H150),"Sub-bacia modelada:",""))</f>
        <v>Jauru</v>
      </c>
      <c r="G150" t="str">
        <f t="shared" ca="1" si="22"/>
        <v>BASE - RESERVATÓRIO</v>
      </c>
      <c r="H150" cm="1">
        <f t="array" aca="1" ref="H150" ca="1">SMALL(ROW(INDIRECT("'"&amp;B150&amp;"'!A1:A1000"))*IF(ISNUMBER(FIND("Sub-bacia modelada:",INDIRECT("'"&amp;B150&amp;"'!A1:A1000"))),1,9999),RESUMO!A150)</f>
        <v>23</v>
      </c>
      <c r="I150">
        <f t="shared" ca="1" si="19"/>
        <v>26</v>
      </c>
      <c r="J150">
        <f t="shared" ca="1" si="20"/>
        <v>30</v>
      </c>
      <c r="K150">
        <f t="shared" ca="1" si="21"/>
        <v>1</v>
      </c>
      <c r="L150">
        <f ca="1">COUNTIF($F$1:F150,F150)</f>
        <v>1</v>
      </c>
      <c r="M150" cm="1">
        <f t="array" aca="1" ref="M150" ca="1">IF(Tabela2[[#This Row],[TIPO]]&lt;&gt;"BASE - POSTO FLU",_xlfn.XLOOKUP(Tabela2[[#This Row],[SUBBACIA]],INDIRECT("'"&amp;Tabela2[[#This Row],[MODELO]]&amp;"'!B1:B5000"),INDIRECT("'"&amp;Tabela2[[#This Row],[MODELO]]&amp;"'!A1:A5000")),"")</f>
        <v>295</v>
      </c>
      <c r="N150" t="str" cm="1">
        <f t="array" aca="1" ref="N15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0" t="str" cm="1">
        <f t="array" aca="1" ref="O15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PSATJAU</v>
      </c>
    </row>
    <row r="151" spans="1:15" x14ac:dyDescent="0.25">
      <c r="A151">
        <f t="shared" ca="1" si="28"/>
        <v>3</v>
      </c>
      <c r="B151" t="s">
        <v>282</v>
      </c>
      <c r="C151" t="s">
        <v>283</v>
      </c>
      <c r="D151" t="s">
        <v>284</v>
      </c>
      <c r="E151" t="str" cm="1">
        <f t="array" aca="1" ref="E151" ca="1">IF(K151=0,F151,TRIM(OFFSET(INDIRECT("'"&amp;B151&amp;"'!A1"),I151+L151,1)))</f>
        <v>Manso</v>
      </c>
      <c r="F151" t="str" cm="1">
        <f t="array" aca="1" ref="F151" ca="1">TRIM(SUBSTITUTE(INDEX(INDIRECT("'"&amp;B151&amp;"'!A1:A1000"),H151),"Sub-bacia modelada:",""))</f>
        <v>Manso</v>
      </c>
      <c r="G151" t="str">
        <f t="shared" ca="1" si="22"/>
        <v>BASE - RESERVATÓRIO</v>
      </c>
      <c r="H151" cm="1">
        <f t="array" aca="1" ref="H151" ca="1">SMALL(ROW(INDIRECT("'"&amp;B151&amp;"'!A1:A1000"))*IF(ISNUMBER(FIND("Sub-bacia modelada:",INDIRECT("'"&amp;B151&amp;"'!A1:A1000"))),1,9999),RESUMO!A151)</f>
        <v>44</v>
      </c>
      <c r="I151">
        <f t="shared" ca="1" si="19"/>
        <v>47</v>
      </c>
      <c r="J151">
        <f t="shared" ca="1" si="20"/>
        <v>51</v>
      </c>
      <c r="K151">
        <f t="shared" ca="1" si="21"/>
        <v>1</v>
      </c>
      <c r="L151">
        <f ca="1">COUNTIF($F$1:F151,F151)</f>
        <v>1</v>
      </c>
      <c r="M151" cm="1">
        <f t="array" aca="1" ref="M151" ca="1">IF(Tabela2[[#This Row],[TIPO]]&lt;&gt;"BASE - POSTO FLU",_xlfn.XLOOKUP(Tabela2[[#This Row],[SUBBACIA]],INDIRECT("'"&amp;Tabela2[[#This Row],[MODELO]]&amp;"'!B1:B5000"),INDIRECT("'"&amp;Tabela2[[#This Row],[MODELO]]&amp;"'!A1:A5000")),"")</f>
        <v>278</v>
      </c>
      <c r="N151" t="str" cm="1">
        <f t="array" aca="1" ref="N15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1" t="str" cm="1">
        <f t="array" aca="1" ref="O15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PSATMAN</v>
      </c>
    </row>
    <row r="152" spans="1:15" x14ac:dyDescent="0.25">
      <c r="A152">
        <f t="shared" ca="1" si="28"/>
        <v>4</v>
      </c>
      <c r="B152" t="s">
        <v>282</v>
      </c>
      <c r="C152" t="s">
        <v>283</v>
      </c>
      <c r="D152" t="s">
        <v>284</v>
      </c>
      <c r="E152" t="str" cm="1">
        <f t="array" aca="1" ref="E152" ca="1">IF(K152=0,F152,TRIM(OFFSET(INDIRECT("'"&amp;B152&amp;"'!A1"),I152+L152,1)))</f>
        <v>Ponte de Pedra</v>
      </c>
      <c r="F152" t="str" cm="1">
        <f t="array" aca="1" ref="F152" ca="1">TRIM(SUBSTITUTE(INDEX(INDIRECT("'"&amp;B152&amp;"'!A1:A1000"),H152),"Sub-bacia modelada:",""))</f>
        <v>Ponte de Pedra</v>
      </c>
      <c r="G152" t="str">
        <f t="shared" ca="1" si="22"/>
        <v>BASE - RESERVATÓRIO</v>
      </c>
      <c r="H152" cm="1">
        <f t="array" aca="1" ref="H152" ca="1">SMALL(ROW(INDIRECT("'"&amp;B152&amp;"'!A1:A1000"))*IF(ISNUMBER(FIND("Sub-bacia modelada:",INDIRECT("'"&amp;B152&amp;"'!A1:A1000"))),1,9999),RESUMO!A152)</f>
        <v>65</v>
      </c>
      <c r="I152">
        <f t="shared" ca="1" si="19"/>
        <v>68</v>
      </c>
      <c r="J152">
        <f t="shared" ca="1" si="20"/>
        <v>72</v>
      </c>
      <c r="K152">
        <f t="shared" ca="1" si="21"/>
        <v>1</v>
      </c>
      <c r="L152">
        <f ca="1">COUNTIF($F$1:F152,F152)</f>
        <v>1</v>
      </c>
      <c r="M152" cm="1">
        <f t="array" aca="1" ref="M152" ca="1">IF(Tabela2[[#This Row],[TIPO]]&lt;&gt;"BASE - POSTO FLU",_xlfn.XLOOKUP(Tabela2[[#This Row],[SUBBACIA]],INDIRECT("'"&amp;Tabela2[[#This Row],[MODELO]]&amp;"'!B1:B5000"),INDIRECT("'"&amp;Tabela2[[#This Row],[MODELO]]&amp;"'!A1:A5000")),"")</f>
        <v>281</v>
      </c>
      <c r="N152" t="str" cm="1">
        <f t="array" aca="1" ref="N15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2" t="str" cm="1">
        <f t="array" aca="1" ref="O15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PSATPTP</v>
      </c>
    </row>
    <row r="153" spans="1:15" x14ac:dyDescent="0.25">
      <c r="A153">
        <f t="shared" ca="1" si="28"/>
        <v>5</v>
      </c>
      <c r="B153" t="s">
        <v>282</v>
      </c>
      <c r="C153" t="s">
        <v>283</v>
      </c>
      <c r="D153" t="s">
        <v>285</v>
      </c>
      <c r="E153" t="str" cm="1">
        <f t="array" aca="1" ref="E153" ca="1">IF(K153=0,F153,TRIM(OFFSET(INDIRECT("'"&amp;B153&amp;"'!A1"),I153+L153,1)))</f>
        <v>Candonga</v>
      </c>
      <c r="F153" t="str" cm="1">
        <f t="array" aca="1" ref="F153" ca="1">TRIM(SUBSTITUTE(INDEX(INDIRECT("'"&amp;B153&amp;"'!A1:A1000"),H153),"Sub-bacia modelada:",""))</f>
        <v>Candonga</v>
      </c>
      <c r="G153" t="str">
        <f t="shared" ca="1" si="22"/>
        <v>BASE - RESERVATÓRIO</v>
      </c>
      <c r="H153" cm="1">
        <f t="array" aca="1" ref="H153" ca="1">SMALL(ROW(INDIRECT("'"&amp;B153&amp;"'!A1:A1000"))*IF(ISNUMBER(FIND("Sub-bacia modelada:",INDIRECT("'"&amp;B153&amp;"'!A1:A1000"))),1,9999),RESUMO!A153)</f>
        <v>86</v>
      </c>
      <c r="I153">
        <f t="shared" ca="1" si="19"/>
        <v>89</v>
      </c>
      <c r="J153">
        <f t="shared" ca="1" si="20"/>
        <v>93</v>
      </c>
      <c r="K153">
        <f t="shared" ca="1" si="21"/>
        <v>1</v>
      </c>
      <c r="L153">
        <f ca="1">COUNTIF($F$1:F153,F153)</f>
        <v>1</v>
      </c>
      <c r="M153" cm="1">
        <f t="array" aca="1" ref="M153" ca="1">IF(Tabela2[[#This Row],[TIPO]]&lt;&gt;"BASE - POSTO FLU",_xlfn.XLOOKUP(Tabela2[[#This Row],[SUBBACIA]],INDIRECT("'"&amp;Tabela2[[#This Row],[MODELO]]&amp;"'!B1:B5000"),INDIRECT("'"&amp;Tabela2[[#This Row],[MODELO]]&amp;"'!A1:A5000")),"")</f>
        <v>149</v>
      </c>
      <c r="N153" t="str" cm="1">
        <f t="array" aca="1" ref="N15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3" t="str" cm="1">
        <f t="array" aca="1" ref="O15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PSATCAN</v>
      </c>
    </row>
    <row r="154" spans="1:15" x14ac:dyDescent="0.25">
      <c r="A154">
        <f t="shared" ca="1" si="28"/>
        <v>6</v>
      </c>
      <c r="B154" t="s">
        <v>282</v>
      </c>
      <c r="C154" t="s">
        <v>283</v>
      </c>
      <c r="D154" t="s">
        <v>285</v>
      </c>
      <c r="E154" t="str" cm="1">
        <f t="array" aca="1" ref="E154" ca="1">IF(K154=0,F154,TRIM(OFFSET(INDIRECT("'"&amp;B154&amp;"'!A1"),I154+L154,1)))</f>
        <v>Guiman Amorim</v>
      </c>
      <c r="F154" t="str" cm="1">
        <f t="array" aca="1" ref="F154" ca="1">TRIM(SUBSTITUTE(INDEX(INDIRECT("'"&amp;B154&amp;"'!A1:A1000"),H154),"Sub-bacia modelada:",""))</f>
        <v>Sa Carvalho</v>
      </c>
      <c r="G154" t="str">
        <f t="shared" ca="1" si="22"/>
        <v>NÃO BASE</v>
      </c>
      <c r="H154" cm="1">
        <f t="array" aca="1" ref="H154" ca="1">SMALL(ROW(INDIRECT("'"&amp;B154&amp;"'!A1:A1000"))*IF(ISNUMBER(FIND("Sub-bacia modelada:",INDIRECT("'"&amp;B154&amp;"'!A1:A1000"))),1,9999),RESUMO!A154)</f>
        <v>107</v>
      </c>
      <c r="I154">
        <f t="shared" ca="1" si="19"/>
        <v>110</v>
      </c>
      <c r="J154">
        <f t="shared" ca="1" si="20"/>
        <v>115</v>
      </c>
      <c r="K154">
        <f t="shared" ca="1" si="21"/>
        <v>2</v>
      </c>
      <c r="L154">
        <f ca="1">COUNTIF($F$1:F154,F154)</f>
        <v>1</v>
      </c>
      <c r="M154" cm="1">
        <f t="array" aca="1" ref="M154" ca="1">IF(Tabela2[[#This Row],[TIPO]]&lt;&gt;"BASE - POSTO FLU",_xlfn.XLOOKUP(Tabela2[[#This Row],[SUBBACIA]],INDIRECT("'"&amp;Tabela2[[#This Row],[MODELO]]&amp;"'!B1:B5000"),INDIRECT("'"&amp;Tabela2[[#This Row],[MODELO]]&amp;"'!A1:A5000")),"")</f>
        <v>262</v>
      </c>
      <c r="N154" t="str" cm="1">
        <f t="array" aca="1" ref="N15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4" t="str" cm="1">
        <f t="array" aca="1" ref="O15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55" spans="1:15" x14ac:dyDescent="0.25">
      <c r="A155">
        <f t="shared" ca="1" si="28"/>
        <v>6</v>
      </c>
      <c r="B155" t="s">
        <v>282</v>
      </c>
      <c r="C155" t="s">
        <v>283</v>
      </c>
      <c r="D155" t="s">
        <v>285</v>
      </c>
      <c r="E155" t="str" cm="1">
        <f t="array" aca="1" ref="E155" ca="1">IF(K155=0,F155,TRIM(OFFSET(INDIRECT("'"&amp;B155&amp;"'!A1"),I155+L155,1)))</f>
        <v>Sá Carvalho</v>
      </c>
      <c r="F155" t="str" cm="1">
        <f t="array" aca="1" ref="F155" ca="1">TRIM(SUBSTITUTE(INDEX(INDIRECT("'"&amp;B155&amp;"'!A1:A1000"),H155),"Sub-bacia modelada:",""))</f>
        <v>Sa Carvalho</v>
      </c>
      <c r="G155" t="s">
        <v>256</v>
      </c>
      <c r="H155" cm="1">
        <f t="array" aca="1" ref="H155" ca="1">SMALL(ROW(INDIRECT("'"&amp;B155&amp;"'!A1:A1000"))*IF(ISNUMBER(FIND("Sub-bacia modelada:",INDIRECT("'"&amp;B155&amp;"'!A1:A1000"))),1,9999),RESUMO!A155)</f>
        <v>107</v>
      </c>
      <c r="I155">
        <f t="shared" ca="1" si="19"/>
        <v>110</v>
      </c>
      <c r="J155">
        <f t="shared" ca="1" si="20"/>
        <v>115</v>
      </c>
      <c r="K155">
        <f t="shared" ca="1" si="21"/>
        <v>2</v>
      </c>
      <c r="L155">
        <f ca="1">COUNTIF($F$1:F155,F155)</f>
        <v>2</v>
      </c>
      <c r="M155" cm="1">
        <f t="array" aca="1" ref="M155" ca="1">IF(Tabela2[[#This Row],[TIPO]]&lt;&gt;"BASE - POSTO FLU",_xlfn.XLOOKUP(Tabela2[[#This Row],[SUBBACIA]],INDIRECT("'"&amp;Tabela2[[#This Row],[MODELO]]&amp;"'!B1:B5000"),INDIRECT("'"&amp;Tabela2[[#This Row],[MODELO]]&amp;"'!A1:A5000")),"")</f>
        <v>184</v>
      </c>
      <c r="N155" t="str" cm="1">
        <f t="array" aca="1" ref="N15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5" t="str" cm="1">
        <f t="array" aca="1" ref="O15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PSATSAC</v>
      </c>
    </row>
    <row r="156" spans="1:15" x14ac:dyDescent="0.25">
      <c r="A156">
        <f t="shared" ca="1" si="28"/>
        <v>7</v>
      </c>
      <c r="B156" t="s">
        <v>282</v>
      </c>
      <c r="C156" t="s">
        <v>283</v>
      </c>
      <c r="D156" t="s">
        <v>285</v>
      </c>
      <c r="E156" t="str" cm="1">
        <f t="array" aca="1" ref="E156" ca="1">IF(K156=0,F156,TRIM(OFFSET(INDIRECT("'"&amp;B156&amp;"'!A1"),I156+L156,1)))</f>
        <v>Porto Estrela</v>
      </c>
      <c r="F156" t="str" cm="1">
        <f t="array" aca="1" ref="F156" ca="1">TRIM(SUBSTITUTE(INDEX(INDIRECT("'"&amp;B156&amp;"'!A1:A1000"),H156),"Sub-bacia modelada:",""))</f>
        <v>Porto Estrela</v>
      </c>
      <c r="G156" t="str">
        <f t="shared" ca="1" si="22"/>
        <v>BASE - RESERVATÓRIO</v>
      </c>
      <c r="H156" cm="1">
        <f t="array" aca="1" ref="H156" ca="1">SMALL(ROW(INDIRECT("'"&amp;B156&amp;"'!A1:A1000"))*IF(ISNUMBER(FIND("Sub-bacia modelada:",INDIRECT("'"&amp;B156&amp;"'!A1:A1000"))),1,9999),RESUMO!A156)</f>
        <v>129</v>
      </c>
      <c r="I156">
        <f t="shared" ca="1" si="19"/>
        <v>132</v>
      </c>
      <c r="J156">
        <f t="shared" ca="1" si="20"/>
        <v>137</v>
      </c>
      <c r="K156">
        <f t="shared" ca="1" si="21"/>
        <v>2</v>
      </c>
      <c r="L156">
        <f ca="1">COUNTIF($F$1:F156,F156)</f>
        <v>1</v>
      </c>
      <c r="M156" cm="1">
        <f t="array" aca="1" ref="M156" ca="1">IF(Tabela2[[#This Row],[TIPO]]&lt;&gt;"BASE - POSTO FLU",_xlfn.XLOOKUP(Tabela2[[#This Row],[SUBBACIA]],INDIRECT("'"&amp;Tabela2[[#This Row],[MODELO]]&amp;"'!B1:B5000"),INDIRECT("'"&amp;Tabela2[[#This Row],[MODELO]]&amp;"'!A1:A5000")),"")</f>
        <v>263</v>
      </c>
      <c r="N156" t="str" cm="1">
        <f t="array" aca="1" ref="N15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6" t="str" cm="1">
        <f t="array" aca="1" ref="O15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PSATPES</v>
      </c>
    </row>
    <row r="157" spans="1:15" x14ac:dyDescent="0.25">
      <c r="A157">
        <f t="shared" ca="1" si="28"/>
        <v>7</v>
      </c>
      <c r="B157" t="s">
        <v>282</v>
      </c>
      <c r="C157" t="s">
        <v>283</v>
      </c>
      <c r="D157" t="s">
        <v>285</v>
      </c>
      <c r="E157" t="str" cm="1">
        <f t="array" aca="1" ref="E157" ca="1">IF(K157=0,F157,TRIM(OFFSET(INDIRECT("'"&amp;B157&amp;"'!A1"),I157+L157,1)))</f>
        <v>Salto Grande CM</v>
      </c>
      <c r="F157" t="str" cm="1">
        <f t="array" aca="1" ref="F157" ca="1">TRIM(SUBSTITUTE(INDEX(INDIRECT("'"&amp;B157&amp;"'!A1:A1000"),H157),"Sub-bacia modelada:",""))</f>
        <v>Porto Estrela</v>
      </c>
      <c r="G157" t="str">
        <f t="shared" ca="1" si="22"/>
        <v>NÃO BASE</v>
      </c>
      <c r="H157" cm="1">
        <f t="array" aca="1" ref="H157" ca="1">SMALL(ROW(INDIRECT("'"&amp;B157&amp;"'!A1:A1000"))*IF(ISNUMBER(FIND("Sub-bacia modelada:",INDIRECT("'"&amp;B157&amp;"'!A1:A1000"))),1,9999),RESUMO!A157)</f>
        <v>129</v>
      </c>
      <c r="I157">
        <f t="shared" ca="1" si="19"/>
        <v>132</v>
      </c>
      <c r="J157">
        <f t="shared" ca="1" si="20"/>
        <v>137</v>
      </c>
      <c r="K157">
        <f t="shared" ca="1" si="21"/>
        <v>2</v>
      </c>
      <c r="L157">
        <f ca="1">COUNTIF($F$1:F157,F157)</f>
        <v>2</v>
      </c>
      <c r="M157" cm="1">
        <f t="array" aca="1" ref="M157" ca="1">IF(Tabela2[[#This Row],[TIPO]]&lt;&gt;"BASE - POSTO FLU",_xlfn.XLOOKUP(Tabela2[[#This Row],[SUBBACIA]],INDIRECT("'"&amp;Tabela2[[#This Row],[MODELO]]&amp;"'!B1:B5000"),INDIRECT("'"&amp;Tabela2[[#This Row],[MODELO]]&amp;"'!A1:A5000")),"")</f>
        <v>134</v>
      </c>
      <c r="N157" t="str" cm="1">
        <f t="array" aca="1" ref="N15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7" t="str" cm="1">
        <f t="array" aca="1" ref="O15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58" spans="1:15" x14ac:dyDescent="0.25">
      <c r="A158">
        <f t="shared" ca="1" si="28"/>
        <v>8</v>
      </c>
      <c r="B158" t="s">
        <v>282</v>
      </c>
      <c r="C158" t="s">
        <v>283</v>
      </c>
      <c r="D158" t="s">
        <v>285</v>
      </c>
      <c r="E158" t="str" cm="1">
        <f t="array" aca="1" ref="E158" ca="1">IF(K158=0,F158,TRIM(OFFSET(INDIRECT("'"&amp;B158&amp;"'!A1"),I158+L158,1)))</f>
        <v>Aimores</v>
      </c>
      <c r="F158" t="str" cm="1">
        <f t="array" aca="1" ref="F158" ca="1">TRIM(SUBSTITUTE(INDEX(INDIRECT("'"&amp;B158&amp;"'!A1:A1000"),H158),"Sub-bacia modelada:",""))</f>
        <v>Mascarenhas</v>
      </c>
      <c r="G158" t="str">
        <f t="shared" ca="1" si="22"/>
        <v>NÃO BASE</v>
      </c>
      <c r="H158" cm="1">
        <f t="array" aca="1" ref="H158" ca="1">SMALL(ROW(INDIRECT("'"&amp;B158&amp;"'!A1:A1000"))*IF(ISNUMBER(FIND("Sub-bacia modelada:",INDIRECT("'"&amp;B158&amp;"'!A1:A1000"))),1,9999),RESUMO!A158)</f>
        <v>151</v>
      </c>
      <c r="I158">
        <f t="shared" ca="1" si="19"/>
        <v>154</v>
      </c>
      <c r="J158">
        <f t="shared" ca="1" si="20"/>
        <v>160</v>
      </c>
      <c r="K158">
        <f t="shared" ca="1" si="21"/>
        <v>3</v>
      </c>
      <c r="L158">
        <f ca="1">COUNTIF($F$1:F158,F158)</f>
        <v>1</v>
      </c>
      <c r="M158" cm="1">
        <f t="array" aca="1" ref="M158" ca="1">IF(Tabela2[[#This Row],[TIPO]]&lt;&gt;"BASE - POSTO FLU",_xlfn.XLOOKUP(Tabela2[[#This Row],[SUBBACIA]],INDIRECT("'"&amp;Tabela2[[#This Row],[MODELO]]&amp;"'!B1:B5000"),INDIRECT("'"&amp;Tabela2[[#This Row],[MODELO]]&amp;"'!A1:A5000")),"")</f>
        <v>148</v>
      </c>
      <c r="N158" t="str" cm="1">
        <f t="array" aca="1" ref="N15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8" t="str" cm="1">
        <f t="array" aca="1" ref="O15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59" spans="1:15" x14ac:dyDescent="0.25">
      <c r="A159">
        <f t="shared" ca="1" si="28"/>
        <v>8</v>
      </c>
      <c r="B159" t="s">
        <v>282</v>
      </c>
      <c r="C159" t="s">
        <v>283</v>
      </c>
      <c r="D159" t="s">
        <v>285</v>
      </c>
      <c r="E159" t="str" cm="1">
        <f t="array" aca="1" ref="E159" ca="1">IF(K159=0,F159,TRIM(OFFSET(INDIRECT("'"&amp;B159&amp;"'!A1"),I159+L159,1)))</f>
        <v>Baguari</v>
      </c>
      <c r="F159" t="str" cm="1">
        <f t="array" aca="1" ref="F159" ca="1">TRIM(SUBSTITUTE(INDEX(INDIRECT("'"&amp;B159&amp;"'!A1:A1000"),H159),"Sub-bacia modelada:",""))</f>
        <v>Mascarenhas</v>
      </c>
      <c r="G159" t="str">
        <f t="shared" ca="1" si="22"/>
        <v>NÃO BASE</v>
      </c>
      <c r="H159" cm="1">
        <f t="array" aca="1" ref="H159" ca="1">SMALL(ROW(INDIRECT("'"&amp;B159&amp;"'!A1:A1000"))*IF(ISNUMBER(FIND("Sub-bacia modelada:",INDIRECT("'"&amp;B159&amp;"'!A1:A1000"))),1,9999),RESUMO!A159)</f>
        <v>151</v>
      </c>
      <c r="I159">
        <f t="shared" ca="1" si="19"/>
        <v>154</v>
      </c>
      <c r="J159">
        <f t="shared" ca="1" si="20"/>
        <v>160</v>
      </c>
      <c r="K159">
        <f t="shared" ca="1" si="21"/>
        <v>3</v>
      </c>
      <c r="L159">
        <f ca="1">COUNTIF($F$1:F159,F159)</f>
        <v>2</v>
      </c>
      <c r="M159" cm="1">
        <f t="array" aca="1" ref="M159" ca="1">IF(Tabela2[[#This Row],[TIPO]]&lt;&gt;"BASE - POSTO FLU",_xlfn.XLOOKUP(Tabela2[[#This Row],[SUBBACIA]],INDIRECT("'"&amp;Tabela2[[#This Row],[MODELO]]&amp;"'!B1:B5000"),INDIRECT("'"&amp;Tabela2[[#This Row],[MODELO]]&amp;"'!A1:A5000")),"")</f>
        <v>141</v>
      </c>
      <c r="N159" t="str" cm="1">
        <f t="array" aca="1" ref="N15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59" t="str" cm="1">
        <f t="array" aca="1" ref="O15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60" spans="1:15" x14ac:dyDescent="0.25">
      <c r="A160">
        <f t="shared" ca="1" si="28"/>
        <v>8</v>
      </c>
      <c r="B160" t="s">
        <v>282</v>
      </c>
      <c r="C160" t="s">
        <v>283</v>
      </c>
      <c r="D160" t="s">
        <v>285</v>
      </c>
      <c r="E160" t="str" cm="1">
        <f t="array" aca="1" ref="E160" ca="1">IF(K160=0,F160,TRIM(OFFSET(INDIRECT("'"&amp;B160&amp;"'!A1"),I160+L160,1)))</f>
        <v>Mascarenhas</v>
      </c>
      <c r="F160" t="str" cm="1">
        <f t="array" aca="1" ref="F160" ca="1">TRIM(SUBSTITUTE(INDEX(INDIRECT("'"&amp;B160&amp;"'!A1:A1000"),H160),"Sub-bacia modelada:",""))</f>
        <v>Mascarenhas</v>
      </c>
      <c r="G160" t="str">
        <f t="shared" ca="1" si="22"/>
        <v>BASE - RESERVATÓRIO</v>
      </c>
      <c r="H160" cm="1">
        <f t="array" aca="1" ref="H160" ca="1">SMALL(ROW(INDIRECT("'"&amp;B160&amp;"'!A1:A1000"))*IF(ISNUMBER(FIND("Sub-bacia modelada:",INDIRECT("'"&amp;B160&amp;"'!A1:A1000"))),1,9999),RESUMO!A160)</f>
        <v>151</v>
      </c>
      <c r="I160">
        <f t="shared" ca="1" si="19"/>
        <v>154</v>
      </c>
      <c r="J160">
        <f t="shared" ca="1" si="20"/>
        <v>160</v>
      </c>
      <c r="K160">
        <f t="shared" ca="1" si="21"/>
        <v>3</v>
      </c>
      <c r="L160">
        <f ca="1">COUNTIF($F$1:F160,F160)</f>
        <v>3</v>
      </c>
      <c r="M160" cm="1">
        <f t="array" aca="1" ref="M160" ca="1">IF(Tabela2[[#This Row],[TIPO]]&lt;&gt;"BASE - POSTO FLU",_xlfn.XLOOKUP(Tabela2[[#This Row],[SUBBACIA]],INDIRECT("'"&amp;Tabela2[[#This Row],[MODELO]]&amp;"'!B1:B5000"),INDIRECT("'"&amp;Tabela2[[#This Row],[MODELO]]&amp;"'!A1:A5000")),"")</f>
        <v>144</v>
      </c>
      <c r="N160" t="str" cm="1">
        <f t="array" aca="1" ref="N16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0" t="str" cm="1">
        <f t="array" aca="1" ref="O16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PSATMAS</v>
      </c>
    </row>
    <row r="161" spans="1:15" x14ac:dyDescent="0.25">
      <c r="A161">
        <f t="shared" ca="1" si="28"/>
        <v>9</v>
      </c>
      <c r="B161" t="s">
        <v>282</v>
      </c>
      <c r="C161" t="s">
        <v>283</v>
      </c>
      <c r="D161" t="s">
        <v>286</v>
      </c>
      <c r="E161" t="str" cm="1">
        <f t="array" aca="1" ref="E161" ca="1">IF(K161=0,F161,TRIM(OFFSET(INDIRECT("'"&amp;B161&amp;"'!A1"),I161+L161,1)))</f>
        <v>Rosal</v>
      </c>
      <c r="F161" t="str" cm="1">
        <f t="array" aca="1" ref="F161" ca="1">TRIM(SUBSTITUTE(INDEX(INDIRECT("'"&amp;B161&amp;"'!A1:A1000"),H161),"Sub-bacia modelada:",""))</f>
        <v>Rosal</v>
      </c>
      <c r="G161" t="str">
        <f t="shared" ca="1" si="22"/>
        <v>BASE - RESERVATÓRIO</v>
      </c>
      <c r="H161" cm="1">
        <f t="array" aca="1" ref="H161" ca="1">SMALL(ROW(INDIRECT("'"&amp;B161&amp;"'!A1:A1000"))*IF(ISNUMBER(FIND("Sub-bacia modelada:",INDIRECT("'"&amp;B161&amp;"'!A1:A1000"))),1,9999),RESUMO!A161)</f>
        <v>174</v>
      </c>
      <c r="I161">
        <f t="shared" ca="1" si="19"/>
        <v>177</v>
      </c>
      <c r="J161">
        <f t="shared" ca="1" si="20"/>
        <v>181</v>
      </c>
      <c r="K161">
        <f t="shared" ca="1" si="21"/>
        <v>1</v>
      </c>
      <c r="L161">
        <f ca="1">COUNTIF($F$1:F161,F161)</f>
        <v>1</v>
      </c>
      <c r="M161" cm="1">
        <f t="array" aca="1" ref="M161" ca="1">IF(Tabela2[[#This Row],[TIPO]]&lt;&gt;"BASE - POSTO FLU",_xlfn.XLOOKUP(Tabela2[[#This Row],[SUBBACIA]],INDIRECT("'"&amp;Tabela2[[#This Row],[MODELO]]&amp;"'!B1:B5000"),INDIRECT("'"&amp;Tabela2[[#This Row],[MODELO]]&amp;"'!A1:A5000")),"")</f>
        <v>196</v>
      </c>
      <c r="N161" t="str" cm="1">
        <f t="array" aca="1" ref="N16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1" t="str" cm="1">
        <f t="array" aca="1" ref="O16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PSATROSA</v>
      </c>
    </row>
    <row r="162" spans="1:15" x14ac:dyDescent="0.25">
      <c r="A162">
        <f ca="1">IF(AND(K161&gt;1,L161&lt;&gt;K161),A161,A161+1)</f>
        <v>10</v>
      </c>
      <c r="B162" t="s">
        <v>282</v>
      </c>
      <c r="C162" t="s">
        <v>283</v>
      </c>
      <c r="D162" t="s">
        <v>287</v>
      </c>
      <c r="E162" t="str" cm="1">
        <f t="array" aca="1" ref="E162" ca="1">IF(K162=0,F162,TRIM(OFFSET(INDIRECT("'"&amp;B162&amp;"'!A1"),I162+L162,1)))</f>
        <v>Sta. Clara-MG</v>
      </c>
      <c r="F162" t="str" cm="1">
        <f t="array" aca="1" ref="F162" ca="1">TRIM(SUBSTITUTE(INDEX(INDIRECT("'"&amp;B162&amp;"'!A1:A1000"),H162),"Sub-bacia modelada:",""))</f>
        <v>Santa Clara-MG</v>
      </c>
      <c r="G162" t="str">
        <f t="shared" ca="1" si="22"/>
        <v>BASE - RESERVATÓRIO</v>
      </c>
      <c r="H162" cm="1">
        <f t="array" aca="1" ref="H162" ca="1">SMALL(ROW(INDIRECT("'"&amp;B162&amp;"'!A1:A1000"))*IF(ISNUMBER(FIND("Sub-bacia modelada:",INDIRECT("'"&amp;B162&amp;"'!A1:A1000"))),1,9999),RESUMO!A162)</f>
        <v>195</v>
      </c>
      <c r="I162">
        <f t="shared" ca="1" si="19"/>
        <v>198</v>
      </c>
      <c r="J162">
        <f t="shared" ca="1" si="20"/>
        <v>202</v>
      </c>
      <c r="K162">
        <f ca="1">COUNT(INDIRECT("'"&amp;B162&amp;"'!A"&amp;I162&amp;":A"&amp;J162))</f>
        <v>1</v>
      </c>
      <c r="L162">
        <f ca="1">COUNTIF($F$1:F170,F162)</f>
        <v>1</v>
      </c>
      <c r="M162" cm="1">
        <f t="array" aca="1" ref="M162" ca="1">IF(Tabela2[[#This Row],[TIPO]]&lt;&gt;"BASE - POSTO FLU",_xlfn.XLOOKUP(Tabela2[[#This Row],[SUBBACIA]],INDIRECT("'"&amp;Tabela2[[#This Row],[MODELO]]&amp;"'!B1:B5000"),INDIRECT("'"&amp;Tabela2[[#This Row],[MODELO]]&amp;"'!A1:A5000")),"")</f>
        <v>283</v>
      </c>
      <c r="N162" t="str" cm="1">
        <f t="array" aca="1" ref="N16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2" t="str" cm="1">
        <f t="array" aca="1" ref="O16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PSATSTCL</v>
      </c>
    </row>
    <row r="163" spans="1:15" x14ac:dyDescent="0.25">
      <c r="A163">
        <f ca="1">A162+1</f>
        <v>11</v>
      </c>
      <c r="B163" t="s">
        <v>282</v>
      </c>
      <c r="C163" t="s">
        <v>283</v>
      </c>
      <c r="D163" t="s">
        <v>288</v>
      </c>
      <c r="E163" t="str" cm="1">
        <f t="array" aca="1" ref="E163" ca="1">IF(K163=0,F163,TRIM(OFFSET(INDIRECT("'"&amp;B163&amp;"'!A1"),I163+L163,1)))</f>
        <v>Paraibuna</v>
      </c>
      <c r="F163" t="str" cm="1">
        <f t="array" aca="1" ref="F163" ca="1">TRIM(SUBSTITUTE(INDEX(INDIRECT("'"&amp;B163&amp;"'!A1:A1000"),H163),"Sub-bacia modelada:",""))</f>
        <v>Sta. Branca</v>
      </c>
      <c r="G163" t="str">
        <f ca="1">IF(K163=0,"BASE - POSTO FLU",IF(OR(E163=F163,K163=1),"BASE - RESERVATÓRIO","NÃO BASE"))</f>
        <v>NÃO BASE</v>
      </c>
      <c r="H163" cm="1">
        <f t="array" aca="1" ref="H163" ca="1">SMALL(ROW(INDIRECT("'"&amp;B163&amp;"'!A1:A1000"))*IF(ISNUMBER(FIND("Sub-bacia modelada:",INDIRECT("'"&amp;B163&amp;"'!A1:A1000"))),1,9999),RESUMO!A163)</f>
        <v>216</v>
      </c>
      <c r="I163">
        <f t="shared" ref="I163:I170" ca="1" si="29">MATCH("Código",INDIRECT("'"&amp;B163&amp;"'!A"&amp;H163&amp;":A"&amp;H163+20),0)+H163-1</f>
        <v>219</v>
      </c>
      <c r="J163">
        <f t="shared" ref="J163:J170" ca="1" si="30">MATCH("Código",INDIRECT("'"&amp;B163&amp;"'!A"&amp;I163+1&amp;":A"&amp;H163+20),0)+I163</f>
        <v>224</v>
      </c>
      <c r="K163">
        <f t="shared" ref="K163:K170" ca="1" si="31">COUNT(INDIRECT("'"&amp;B163&amp;"'!A"&amp;I163&amp;":A"&amp;J163))</f>
        <v>2</v>
      </c>
      <c r="L163">
        <f ca="1">COUNTIF($F$1:F163,F163)</f>
        <v>1</v>
      </c>
      <c r="M163" cm="1">
        <f t="array" aca="1" ref="M163" ca="1">IF(Tabela2[[#This Row],[TIPO]]&lt;&gt;"BASE - POSTO FLU",_xlfn.XLOOKUP(Tabela2[[#This Row],[SUBBACIA]],INDIRECT("'"&amp;Tabela2[[#This Row],[MODELO]]&amp;"'!B1:B5000"),INDIRECT("'"&amp;Tabela2[[#This Row],[MODELO]]&amp;"'!A1:A5000")),"")</f>
        <v>121</v>
      </c>
      <c r="N163" t="str" cm="1">
        <f t="array" aca="1" ref="N16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3" t="str" cm="1">
        <f t="array" aca="1" ref="O16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64" spans="1:15" x14ac:dyDescent="0.25">
      <c r="A164">
        <f t="shared" ca="1" si="28"/>
        <v>11</v>
      </c>
      <c r="B164" t="s">
        <v>282</v>
      </c>
      <c r="C164" t="s">
        <v>283</v>
      </c>
      <c r="D164" t="s">
        <v>288</v>
      </c>
      <c r="E164" t="str" cm="1">
        <f t="array" aca="1" ref="E164" ca="1">IF(K164=0,F164,TRIM(OFFSET(INDIRECT("'"&amp;B164&amp;"'!A1"),I164+L164,1)))</f>
        <v>Sta. Branca</v>
      </c>
      <c r="F164" t="str" cm="1">
        <f t="array" aca="1" ref="F164" ca="1">TRIM(SUBSTITUTE(INDEX(INDIRECT("'"&amp;B164&amp;"'!A1:A1000"),H164),"Sub-bacia modelada:",""))</f>
        <v>Sta. Branca</v>
      </c>
      <c r="G164" t="str">
        <f t="shared" ref="G164:G171" ca="1" si="32">IF(K164=0,"BASE - POSTO FLU",IF(OR(E164=F164,K164=1),"BASE - RESERVATÓRIO","NÃO BASE"))</f>
        <v>BASE - RESERVATÓRIO</v>
      </c>
      <c r="H164" cm="1">
        <f t="array" aca="1" ref="H164" ca="1">SMALL(ROW(INDIRECT("'"&amp;B164&amp;"'!A1:A1000"))*IF(ISNUMBER(FIND("Sub-bacia modelada:",INDIRECT("'"&amp;B164&amp;"'!A1:A1000"))),1,9999),RESUMO!A164)</f>
        <v>216</v>
      </c>
      <c r="I164">
        <f t="shared" ca="1" si="29"/>
        <v>219</v>
      </c>
      <c r="J164">
        <f t="shared" ca="1" si="30"/>
        <v>224</v>
      </c>
      <c r="K164">
        <f t="shared" ca="1" si="31"/>
        <v>2</v>
      </c>
      <c r="L164">
        <f ca="1">COUNTIF($F$1:F164,F164)</f>
        <v>2</v>
      </c>
      <c r="M164" cm="1">
        <f t="array" aca="1" ref="M164" ca="1">IF(Tabela2[[#This Row],[TIPO]]&lt;&gt;"BASE - POSTO FLU",_xlfn.XLOOKUP(Tabela2[[#This Row],[SUBBACIA]],INDIRECT("'"&amp;Tabela2[[#This Row],[MODELO]]&amp;"'!B1:B5000"),INDIRECT("'"&amp;Tabela2[[#This Row],[MODELO]]&amp;"'!A1:A5000")),"")</f>
        <v>122</v>
      </c>
      <c r="N164" t="str" cm="1">
        <f t="array" aca="1" ref="N16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4" t="str" cm="1">
        <f t="array" aca="1" ref="O16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PSATSBR</v>
      </c>
    </row>
    <row r="165" spans="1:15" x14ac:dyDescent="0.25">
      <c r="A165">
        <f t="shared" ca="1" si="28"/>
        <v>12</v>
      </c>
      <c r="B165" t="s">
        <v>282</v>
      </c>
      <c r="C165" t="s">
        <v>283</v>
      </c>
      <c r="D165" t="s">
        <v>288</v>
      </c>
      <c r="E165" t="str" cm="1">
        <f t="array" aca="1" ref="E165" ca="1">IF(K165=0,F165,TRIM(OFFSET(INDIRECT("'"&amp;B165&amp;"'!A1"),I165+L165,1)))</f>
        <v>Jaguari</v>
      </c>
      <c r="F165" t="str" cm="1">
        <f t="array" aca="1" ref="F165" ca="1">TRIM(SUBSTITUTE(INDEX(INDIRECT("'"&amp;B165&amp;"'!A1:A1000"),H165),"Sub-bacia modelada:",""))</f>
        <v>Jaguari</v>
      </c>
      <c r="G165" t="str">
        <f t="shared" ca="1" si="32"/>
        <v>BASE - RESERVATÓRIO</v>
      </c>
      <c r="H165" cm="1">
        <f t="array" aca="1" ref="H165" ca="1">SMALL(ROW(INDIRECT("'"&amp;B165&amp;"'!A1:A1000"))*IF(ISNUMBER(FIND("Sub-bacia modelada:",INDIRECT("'"&amp;B165&amp;"'!A1:A1000"))),1,9999),RESUMO!A165)</f>
        <v>238</v>
      </c>
      <c r="I165">
        <f t="shared" ca="1" si="29"/>
        <v>241</v>
      </c>
      <c r="J165">
        <f t="shared" ca="1" si="30"/>
        <v>245</v>
      </c>
      <c r="K165">
        <f t="shared" ca="1" si="31"/>
        <v>1</v>
      </c>
      <c r="L165">
        <f ca="1">COUNTIF($F$1:F165,F165)</f>
        <v>1</v>
      </c>
      <c r="M165" cm="1">
        <f t="array" aca="1" ref="M165" ca="1">IF(Tabela2[[#This Row],[TIPO]]&lt;&gt;"BASE - POSTO FLU",_xlfn.XLOOKUP(Tabela2[[#This Row],[SUBBACIA]],INDIRECT("'"&amp;Tabela2[[#This Row],[MODELO]]&amp;"'!B1:B5000"),INDIRECT("'"&amp;Tabela2[[#This Row],[MODELO]]&amp;"'!A1:A5000")),"")</f>
        <v>120</v>
      </c>
      <c r="N165" t="str" cm="1">
        <f t="array" aca="1" ref="N165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5" t="str" cm="1">
        <f t="array" aca="1" ref="O165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PSATJAG</v>
      </c>
    </row>
    <row r="166" spans="1:15" x14ac:dyDescent="0.25">
      <c r="A166">
        <f t="shared" ca="1" si="28"/>
        <v>13</v>
      </c>
      <c r="B166" t="s">
        <v>282</v>
      </c>
      <c r="C166" t="s">
        <v>283</v>
      </c>
      <c r="D166" t="s">
        <v>288</v>
      </c>
      <c r="E166" t="str" cm="1">
        <f t="array" aca="1" ref="E166" ca="1">IF(K166=0,F166,TRIM(OFFSET(INDIRECT("'"&amp;B166&amp;"'!A1"),I166+L166,1)))</f>
        <v>Funil</v>
      </c>
      <c r="F166" t="str" cm="1">
        <f t="array" aca="1" ref="F166" ca="1">TRIM(SUBSTITUTE(INDEX(INDIRECT("'"&amp;B166&amp;"'!A1:A1000"),H166),"Sub-bacia modelada:",""))</f>
        <v>Funil</v>
      </c>
      <c r="G166" t="str">
        <f t="shared" ca="1" si="32"/>
        <v>BASE - RESERVATÓRIO</v>
      </c>
      <c r="H166" cm="1">
        <f t="array" aca="1" ref="H166" ca="1">SMALL(ROW(INDIRECT("'"&amp;B166&amp;"'!A1:A1000"))*IF(ISNUMBER(FIND("Sub-bacia modelada:",INDIRECT("'"&amp;B166&amp;"'!A1:A1000"))),1,9999),RESUMO!A166)</f>
        <v>259</v>
      </c>
      <c r="I166">
        <f t="shared" ca="1" si="29"/>
        <v>262</v>
      </c>
      <c r="J166">
        <f t="shared" ca="1" si="30"/>
        <v>266</v>
      </c>
      <c r="K166">
        <f t="shared" ca="1" si="31"/>
        <v>1</v>
      </c>
      <c r="L166">
        <f ca="1">COUNTIF($F$1:F166,F166)</f>
        <v>1</v>
      </c>
      <c r="M166" cm="1">
        <f t="array" aca="1" ref="M166" ca="1">IF(Tabela2[[#This Row],[TIPO]]&lt;&gt;"BASE - POSTO FLU",_xlfn.XLOOKUP(Tabela2[[#This Row],[SUBBACIA]],INDIRECT("'"&amp;Tabela2[[#This Row],[MODELO]]&amp;"'!B1:B5000"),INDIRECT("'"&amp;Tabela2[[#This Row],[MODELO]]&amp;"'!A1:A5000")),"")</f>
        <v>123</v>
      </c>
      <c r="N166" t="str" cm="1">
        <f t="array" aca="1" ref="N166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6" t="str" cm="1">
        <f t="array" aca="1" ref="O166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 xml:space="preserve">PSATFUNI </v>
      </c>
    </row>
    <row r="167" spans="1:15" x14ac:dyDescent="0.25">
      <c r="A167">
        <f t="shared" ca="1" si="28"/>
        <v>14</v>
      </c>
      <c r="B167" t="s">
        <v>282</v>
      </c>
      <c r="C167" t="s">
        <v>283</v>
      </c>
      <c r="D167" t="s">
        <v>288</v>
      </c>
      <c r="E167" t="str" cm="1">
        <f t="array" aca="1" ref="E167" ca="1">IF(K167=0,F167,TRIM(OFFSET(INDIRECT("'"&amp;B167&amp;"'!A1"),I167+L167,1)))</f>
        <v>Sta Cecília</v>
      </c>
      <c r="F167" t="str" cm="1">
        <f t="array" aca="1" ref="F167" ca="1">TRIM(SUBSTITUTE(INDEX(INDIRECT("'"&amp;B167&amp;"'!A1:A1000"),H167),"Sub-bacia modelada:",""))</f>
        <v>Sta Cecília</v>
      </c>
      <c r="G167" t="str">
        <f t="shared" ca="1" si="32"/>
        <v>BASE - RESERVATÓRIO</v>
      </c>
      <c r="H167" cm="1">
        <f t="array" aca="1" ref="H167" ca="1">SMALL(ROW(INDIRECT("'"&amp;B167&amp;"'!A1:A1000"))*IF(ISNUMBER(FIND("Sub-bacia modelada:",INDIRECT("'"&amp;B167&amp;"'!A1:A1000"))),1,9999),RESUMO!A167)</f>
        <v>280</v>
      </c>
      <c r="I167">
        <f t="shared" ca="1" si="29"/>
        <v>283</v>
      </c>
      <c r="J167">
        <f t="shared" ca="1" si="30"/>
        <v>287</v>
      </c>
      <c r="K167">
        <f t="shared" ca="1" si="31"/>
        <v>1</v>
      </c>
      <c r="L167">
        <f ca="1">COUNTIF($F$1:F167,F167)</f>
        <v>1</v>
      </c>
      <c r="M167" cm="1">
        <f t="array" aca="1" ref="M167" ca="1">IF(Tabela2[[#This Row],[TIPO]]&lt;&gt;"BASE - POSTO FLU",_xlfn.XLOOKUP(Tabela2[[#This Row],[SUBBACIA]],INDIRECT("'"&amp;Tabela2[[#This Row],[MODELO]]&amp;"'!B1:B5000"),INDIRECT("'"&amp;Tabela2[[#This Row],[MODELO]]&amp;"'!A1:A5000")),"")</f>
        <v>125</v>
      </c>
      <c r="N167" t="str" cm="1">
        <f t="array" aca="1" ref="N167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7" t="str" cm="1">
        <f t="array" aca="1" ref="O167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 xml:space="preserve">PSATSACE </v>
      </c>
    </row>
    <row r="168" spans="1:15" x14ac:dyDescent="0.25">
      <c r="A168">
        <f t="shared" ca="1" si="28"/>
        <v>15</v>
      </c>
      <c r="B168" t="s">
        <v>282</v>
      </c>
      <c r="C168" t="s">
        <v>283</v>
      </c>
      <c r="D168" t="s">
        <v>288</v>
      </c>
      <c r="E168" t="str" cm="1">
        <f t="array" aca="1" ref="E168" ca="1">IF(K168=0,F168,TRIM(OFFSET(INDIRECT("'"&amp;B168&amp;"'!A1"),I168+L168,1)))</f>
        <v>Picada</v>
      </c>
      <c r="F168" t="str" cm="1">
        <f t="array" aca="1" ref="F168" ca="1">TRIM(SUBSTITUTE(INDEX(INDIRECT("'"&amp;B168&amp;"'!A1:A1000"),H168),"Sub-bacia modelada:",""))</f>
        <v>Picada</v>
      </c>
      <c r="G168" t="str">
        <f t="shared" ca="1" si="32"/>
        <v>BASE - RESERVATÓRIO</v>
      </c>
      <c r="H168" cm="1">
        <f t="array" aca="1" ref="H168" ca="1">SMALL(ROW(INDIRECT("'"&amp;B168&amp;"'!A1:A1000"))*IF(ISNUMBER(FIND("Sub-bacia modelada:",INDIRECT("'"&amp;B168&amp;"'!A1:A1000"))),1,9999),RESUMO!A168)</f>
        <v>301</v>
      </c>
      <c r="I168">
        <f t="shared" ca="1" si="29"/>
        <v>304</v>
      </c>
      <c r="J168">
        <f t="shared" ca="1" si="30"/>
        <v>308</v>
      </c>
      <c r="K168">
        <f t="shared" ca="1" si="31"/>
        <v>1</v>
      </c>
      <c r="L168">
        <f ca="1">COUNTIF($F$1:F168,F168)</f>
        <v>1</v>
      </c>
      <c r="M168" cm="1">
        <f t="array" aca="1" ref="M168" ca="1">IF(Tabela2[[#This Row],[TIPO]]&lt;&gt;"BASE - POSTO FLU",_xlfn.XLOOKUP(Tabela2[[#This Row],[SUBBACIA]],INDIRECT("'"&amp;Tabela2[[#This Row],[MODELO]]&amp;"'!B1:B5000"),INDIRECT("'"&amp;Tabela2[[#This Row],[MODELO]]&amp;"'!A1:A5000")),"")</f>
        <v>197</v>
      </c>
      <c r="N168" t="str" cm="1">
        <f t="array" aca="1" ref="N168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8" t="str" cm="1">
        <f t="array" aca="1" ref="O168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 xml:space="preserve">PSATPIC  </v>
      </c>
    </row>
    <row r="169" spans="1:15" x14ac:dyDescent="0.25">
      <c r="A169">
        <f t="shared" ca="1" si="28"/>
        <v>16</v>
      </c>
      <c r="B169" t="s">
        <v>282</v>
      </c>
      <c r="C169" t="s">
        <v>283</v>
      </c>
      <c r="D169" t="s">
        <v>288</v>
      </c>
      <c r="E169" t="str" cm="1">
        <f t="array" aca="1" ref="E169" ca="1">IF(K169=0,F169,TRIM(OFFSET(INDIRECT("'"&amp;B169&amp;"'!A1"),I169+L169,1)))</f>
        <v>Sobragi</v>
      </c>
      <c r="F169" t="str" cm="1">
        <f t="array" aca="1" ref="F169" ca="1">TRIM(SUBSTITUTE(INDEX(INDIRECT("'"&amp;B169&amp;"'!A1:A1000"),H169),"Sub-bacia modelada:",""))</f>
        <v>Sobragi</v>
      </c>
      <c r="G169" t="str">
        <f t="shared" ca="1" si="32"/>
        <v>BASE - RESERVATÓRIO</v>
      </c>
      <c r="H169" cm="1">
        <f t="array" aca="1" ref="H169" ca="1">SMALL(ROW(INDIRECT("'"&amp;B169&amp;"'!A1:A1000"))*IF(ISNUMBER(FIND("Sub-bacia modelada:",INDIRECT("'"&amp;B169&amp;"'!A1:A1000"))),1,9999),RESUMO!A169)</f>
        <v>322</v>
      </c>
      <c r="I169">
        <f t="shared" ca="1" si="29"/>
        <v>325</v>
      </c>
      <c r="J169">
        <f t="shared" ca="1" si="30"/>
        <v>329</v>
      </c>
      <c r="K169">
        <f t="shared" ca="1" si="31"/>
        <v>1</v>
      </c>
      <c r="L169">
        <f ca="1">COUNTIF($F$1:F169,F169)</f>
        <v>1</v>
      </c>
      <c r="M169" cm="1">
        <f t="array" aca="1" ref="M169" ca="1">IF(Tabela2[[#This Row],[TIPO]]&lt;&gt;"BASE - POSTO FLU",_xlfn.XLOOKUP(Tabela2[[#This Row],[SUBBACIA]],INDIRECT("'"&amp;Tabela2[[#This Row],[MODELO]]&amp;"'!B1:B5000"),INDIRECT("'"&amp;Tabela2[[#This Row],[MODELO]]&amp;"'!A1:A5000")),"")</f>
        <v>198</v>
      </c>
      <c r="N169" t="str" cm="1">
        <f t="array" aca="1" ref="N169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69" t="str" cm="1">
        <f t="array" aca="1" ref="O169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 xml:space="preserve">PSATSOGI </v>
      </c>
    </row>
    <row r="170" spans="1:15" x14ac:dyDescent="0.25">
      <c r="A170">
        <f t="shared" ca="1" si="28"/>
        <v>17</v>
      </c>
      <c r="B170" t="s">
        <v>282</v>
      </c>
      <c r="C170" t="s">
        <v>283</v>
      </c>
      <c r="D170" t="s">
        <v>288</v>
      </c>
      <c r="E170" t="str" cm="1">
        <f t="array" aca="1" ref="E170" ca="1">IF(K170=0,F170,TRIM(OFFSET(INDIRECT("'"&amp;B170&amp;"'!A1"),I170+L170,1)))</f>
        <v>Anta</v>
      </c>
      <c r="F170" t="str" cm="1">
        <f t="array" aca="1" ref="F170" ca="1">TRIM(SUBSTITUTE(INDEX(INDIRECT("'"&amp;B170&amp;"'!A1:A1000"),H170),"Sub-bacia modelada:",""))</f>
        <v>Ilha dos Pombos</v>
      </c>
      <c r="G170" t="str">
        <f t="shared" ca="1" si="32"/>
        <v>NÃO BASE</v>
      </c>
      <c r="H170" cm="1">
        <f t="array" aca="1" ref="H170" ca="1">SMALL(ROW(INDIRECT("'"&amp;B170&amp;"'!A1:A1000"))*IF(ISNUMBER(FIND("Sub-bacia modelada:",INDIRECT("'"&amp;B170&amp;"'!A1:A1000"))),1,9999),RESUMO!A170)</f>
        <v>343</v>
      </c>
      <c r="I170">
        <f t="shared" ca="1" si="29"/>
        <v>346</v>
      </c>
      <c r="J170">
        <f t="shared" ca="1" si="30"/>
        <v>351</v>
      </c>
      <c r="K170">
        <f t="shared" ca="1" si="31"/>
        <v>2</v>
      </c>
      <c r="L170">
        <f ca="1">COUNTIF($F$1:F170,F170)</f>
        <v>1</v>
      </c>
      <c r="M170" cm="1">
        <f t="array" aca="1" ref="M170" ca="1">IF(Tabela2[[#This Row],[TIPO]]&lt;&gt;"BASE - POSTO FLU",_xlfn.XLOOKUP(Tabela2[[#This Row],[SUBBACIA]],INDIRECT("'"&amp;Tabela2[[#This Row],[MODELO]]&amp;"'!B1:B5000"),INDIRECT("'"&amp;Tabela2[[#This Row],[MODELO]]&amp;"'!A1:A5000")),"")</f>
        <v>129</v>
      </c>
      <c r="N170" t="str" cm="1">
        <f t="array" aca="1" ref="N170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70" t="str" cm="1">
        <f t="array" aca="1" ref="O170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/>
      </c>
    </row>
    <row r="171" spans="1:15" ht="17.25" customHeight="1" x14ac:dyDescent="0.25">
      <c r="A171">
        <f t="shared" ref="A171:A172" ca="1" si="33">IF(AND(K170&gt;1,L170&lt;&gt;K170),A170,A170+1)</f>
        <v>17</v>
      </c>
      <c r="B171" t="s">
        <v>282</v>
      </c>
      <c r="C171" t="s">
        <v>283</v>
      </c>
      <c r="D171" t="s">
        <v>288</v>
      </c>
      <c r="E171" t="str" cm="1">
        <f t="array" aca="1" ref="E171" ca="1">IF(K171=0,F171,TRIM(OFFSET(INDIRECT("'"&amp;B171&amp;"'!A1"),I171+L171,1)))</f>
        <v>Ilha dos Pombos</v>
      </c>
      <c r="F171" t="str" cm="1">
        <f t="array" aca="1" ref="F171" ca="1">TRIM(SUBSTITUTE(INDEX(INDIRECT("'"&amp;B171&amp;"'!A1:A1000"),H171),"Sub-bacia modelada:",""))</f>
        <v>Ilha dos Pombos</v>
      </c>
      <c r="G171" t="str">
        <f t="shared" ca="1" si="32"/>
        <v>BASE - RESERVATÓRIO</v>
      </c>
      <c r="H171" cm="1">
        <f t="array" aca="1" ref="H171" ca="1">SMALL(ROW(INDIRECT("'"&amp;B171&amp;"'!A1:A1000"))*IF(ISNUMBER(FIND("Sub-bacia modelada:",INDIRECT("'"&amp;B171&amp;"'!A1:A1000"))),1,9999),RESUMO!A171)</f>
        <v>343</v>
      </c>
      <c r="I171">
        <f t="shared" ref="I171:I172" ca="1" si="34">MATCH("Código",INDIRECT("'"&amp;B171&amp;"'!A"&amp;H171&amp;":A"&amp;H171+20),0)+H171-1</f>
        <v>346</v>
      </c>
      <c r="J171">
        <f t="shared" ref="J171:J172" ca="1" si="35">MATCH("Código",INDIRECT("'"&amp;B171&amp;"'!A"&amp;I171+1&amp;":A"&amp;H171+20),0)+I171</f>
        <v>351</v>
      </c>
      <c r="K171">
        <f t="shared" ref="K171:K172" ca="1" si="36">COUNT(INDIRECT("'"&amp;B171&amp;"'!A"&amp;I171&amp;":A"&amp;J171))</f>
        <v>2</v>
      </c>
      <c r="L171">
        <f ca="1">COUNTIF($F$1:F171,F171)</f>
        <v>2</v>
      </c>
      <c r="M171" cm="1">
        <f t="array" aca="1" ref="M171" ca="1">IF(Tabela2[[#This Row],[TIPO]]&lt;&gt;"BASE - POSTO FLU",_xlfn.XLOOKUP(Tabela2[[#This Row],[SUBBACIA]],INDIRECT("'"&amp;Tabela2[[#This Row],[MODELO]]&amp;"'!B1:B5000"),INDIRECT("'"&amp;Tabela2[[#This Row],[MODELO]]&amp;"'!A1:A5000")),"")</f>
        <v>130</v>
      </c>
      <c r="N171" t="str" cm="1">
        <f t="array" aca="1" ref="N171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71" t="str" cm="1">
        <f t="array" aca="1" ref="O171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PSATIPSI</v>
      </c>
    </row>
    <row r="172" spans="1:15" x14ac:dyDescent="0.25">
      <c r="A172">
        <f t="shared" ca="1" si="33"/>
        <v>18</v>
      </c>
      <c r="B172" t="s">
        <v>282</v>
      </c>
      <c r="C172" t="s">
        <v>283</v>
      </c>
      <c r="D172" t="s">
        <v>288</v>
      </c>
      <c r="E172" t="str" cm="1">
        <f t="array" aca="1" ref="E172" ca="1">IF(K172=0,F172,TRIM(OFFSET(INDIRECT("'"&amp;B172&amp;"'!A1"),I172+L172,1)))</f>
        <v>Tocos + Lajes</v>
      </c>
      <c r="F172" t="str" cm="1">
        <f t="array" aca="1" ref="F172" ca="1">TRIM(SUBSTITUTE(INDEX(INDIRECT("'"&amp;B172&amp;"'!A1:A1000"),H172),"Sub-bacia modelada:",""))</f>
        <v>Tocos + Lajes</v>
      </c>
      <c r="G172" t="str">
        <f t="shared" ref="G172" ca="1" si="37">IF(K172=0,"BASE - POSTO FLU",IF(OR(E172=F172,K172=1),"BASE - RESERVATÓRIO","NÃO BASE"))</f>
        <v>BASE - RESERVATÓRIO</v>
      </c>
      <c r="H172" cm="1">
        <f t="array" aca="1" ref="H172" ca="1">SMALL(ROW(INDIRECT("'"&amp;B172&amp;"'!A1:A1000"))*IF(ISNUMBER(FIND("Sub-bacia modelada:",INDIRECT("'"&amp;B172&amp;"'!A1:A1000"))),1,9999),RESUMO!A172)</f>
        <v>365</v>
      </c>
      <c r="I172">
        <f t="shared" ca="1" si="34"/>
        <v>368</v>
      </c>
      <c r="J172">
        <f t="shared" ca="1" si="35"/>
        <v>372</v>
      </c>
      <c r="K172">
        <f t="shared" ca="1" si="36"/>
        <v>1</v>
      </c>
      <c r="L172">
        <f ca="1">COUNTIF($F$1:F172,F172)</f>
        <v>1</v>
      </c>
      <c r="M172" cm="1">
        <f t="array" aca="1" ref="M172" ca="1">IF(Tabela2[[#This Row],[TIPO]]&lt;&gt;"BASE - POSTO FLU",_xlfn.XLOOKUP(Tabela2[[#This Row],[SUBBACIA]],INDIRECT("'"&amp;Tabela2[[#This Row],[MODELO]]&amp;"'!B1:B5000"),INDIRECT("'"&amp;Tabela2[[#This Row],[MODELO]]&amp;"'!A1:A5000")),"")</f>
        <v>921</v>
      </c>
      <c r="N172" t="str" cm="1">
        <f t="array" aca="1" ref="N172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72" t="str" cm="1">
        <f t="array" aca="1" ref="O172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PSATTCLJ</v>
      </c>
    </row>
    <row r="173" spans="1:15" x14ac:dyDescent="0.25">
      <c r="A173">
        <v>19</v>
      </c>
      <c r="B173" t="s">
        <v>282</v>
      </c>
      <c r="C173" t="s">
        <v>283</v>
      </c>
      <c r="D173" t="s">
        <v>288</v>
      </c>
      <c r="E173" t="str" cm="1">
        <f t="array" aca="1" ref="E173" ca="1">IF(K173=0,F173,TRIM(OFFSET(INDIRECT("'"&amp;B173&amp;"'!A1"),I173+L173,1)))</f>
        <v>Barra do Brauna</v>
      </c>
      <c r="F173" t="str" cm="1">
        <f t="array" aca="1" ref="F173" ca="1">TRIM(SUBSTITUTE(INDEX(INDIRECT("'"&amp;B173&amp;"'!A1:A1000"),H173),"Sub-bacia modelada:",""))</f>
        <v>Barra do Brauna</v>
      </c>
      <c r="G173" t="str">
        <f ca="1">IF(K173=0,"BASE - POSTO FLU",IF(OR(E173=F173,K173=1),"BASE - RESERVATÓRIO","NÃO BASE"))</f>
        <v>BASE - RESERVATÓRIO</v>
      </c>
      <c r="H173" cm="1">
        <f t="array" aca="1" ref="H173" ca="1">SMALL(ROW(INDIRECT("'"&amp;B173&amp;"'!A1:A1000"))*IF(ISNUMBER(FIND("Sub-bacia modelada:",INDIRECT("'"&amp;B173&amp;"'!A1:A1000"))),1,9999),RESUMO!A173)</f>
        <v>386</v>
      </c>
      <c r="I173">
        <f ca="1">MATCH("Código",INDIRECT("'"&amp;B173&amp;"'!A"&amp;H173&amp;":A"&amp;H173+20),0)+H173-1</f>
        <v>389</v>
      </c>
      <c r="J173">
        <f ca="1">MATCH("Código",INDIRECT("'"&amp;B173&amp;"'!A"&amp;I173+1&amp;":A"&amp;H173+20),0)+I173</f>
        <v>393</v>
      </c>
      <c r="K173">
        <f ca="1">COUNT(INDIRECT("'"&amp;B173&amp;"'!A"&amp;I173&amp;":A"&amp;J173))</f>
        <v>1</v>
      </c>
      <c r="L173">
        <f ca="1">COUNTIF($F$1:F173,F173)</f>
        <v>1</v>
      </c>
      <c r="M173" cm="1">
        <f t="array" aca="1" ref="M173" ca="1">IF(Tabela2[[#This Row],[TIPO]]&lt;&gt;"BASE - POSTO FLU",_xlfn.XLOOKUP(Tabela2[[#This Row],[SUBBACIA]],INDIRECT("'"&amp;Tabela2[[#This Row],[MODELO]]&amp;"'!B1:B5000"),INDIRECT("'"&amp;Tabela2[[#This Row],[MODELO]]&amp;"'!A1:A5000")),"")</f>
        <v>135</v>
      </c>
      <c r="N173" t="str" cm="1">
        <f t="array" aca="1" ref="N173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73" t="str" cm="1">
        <f t="array" aca="1" ref="O173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PSATBRAU</v>
      </c>
    </row>
    <row r="174" spans="1:15" ht="16.5" customHeight="1" x14ac:dyDescent="0.25">
      <c r="A174">
        <v>20</v>
      </c>
      <c r="B174" t="s">
        <v>282</v>
      </c>
      <c r="C174" t="s">
        <v>283</v>
      </c>
      <c r="D174" t="s">
        <v>289</v>
      </c>
      <c r="E174" t="str" cm="1">
        <f t="array" aca="1" ref="E174" ca="1">IF(K174=0,F174,TRIM(OFFSET(INDIRECT("'"&amp;B174&amp;"'!A1"),I174+L174,1)))</f>
        <v>Suiça</v>
      </c>
      <c r="F174" t="str" cm="1">
        <f t="array" aca="1" ref="F174" ca="1">TRIM(SUBSTITUTE(INDEX(INDIRECT("'"&amp;B174&amp;"'!A1:A1000"),H174),"Sub-bacia modelada:",""))</f>
        <v>Suiça</v>
      </c>
      <c r="G174" t="str">
        <f ca="1">IF(K174=0,"BASE - POSTO FLU",IF(OR(E174=F174,K174=1),"BASE - RESERVATÓRIO","NÃO BASE"))</f>
        <v>BASE - RESERVATÓRIO</v>
      </c>
      <c r="H174" cm="1">
        <f t="array" aca="1" ref="H174" ca="1">SMALL(ROW(INDIRECT("'"&amp;B174&amp;"'!A1:A1000"))*IF(ISNUMBER(FIND("Sub-bacia modelada:",INDIRECT("'"&amp;B174&amp;"'!A1:A1000"))),1,9999),RESUMO!A174)</f>
        <v>407</v>
      </c>
      <c r="I174">
        <f ca="1">MATCH("Código",INDIRECT("'"&amp;B174&amp;"'!A"&amp;H174&amp;":A"&amp;H174+20),0)+H174-1</f>
        <v>410</v>
      </c>
      <c r="J174">
        <f ca="1">MATCH("Código",INDIRECT("'"&amp;B174&amp;"'!A"&amp;I174+1&amp;":A"&amp;H174+20),0)+I174</f>
        <v>414</v>
      </c>
      <c r="K174">
        <f ca="1">COUNT(INDIRECT("'"&amp;B174&amp;"'!A"&amp;I174&amp;":A"&amp;J174))</f>
        <v>1</v>
      </c>
      <c r="L174">
        <f ca="1">COUNTIF($F$1:F174,F174)</f>
        <v>1</v>
      </c>
      <c r="M174" cm="1">
        <f t="array" aca="1" ref="M174" ca="1">IF(Tabela2[[#This Row],[TIPO]]&lt;&gt;"BASE - POSTO FLU",_xlfn.XLOOKUP(Tabela2[[#This Row],[SUBBACIA]],INDIRECT("'"&amp;Tabela2[[#This Row],[MODELO]]&amp;"'!B1:B5000"),INDIRECT("'"&amp;Tabela2[[#This Row],[MODELO]]&amp;"'!A1:A5000")),"")</f>
        <v>213</v>
      </c>
      <c r="N174" t="str" cm="1">
        <f t="array" aca="1" ref="N174" ca="1">IF(Tabela2[[#This Row],[TIPO]]="BASE - POSTO FLU",OFFSET(INDIRECT("'"&amp;Tabela2[[#This Row],[MODELO]]&amp;"'!A1"),MATCH("Sub-bacia modelada: "&amp;Tabela2[[#This Row],[SUBBACIA]],INDIRECT("'"&amp;Tabela2[[#This Row],[MODELO]]&amp;"'!A1:A5000"),0)+8,0),"")</f>
        <v/>
      </c>
      <c r="O174" t="str" cm="1">
        <f t="array" aca="1" ref="O174" ca="1">IF(Tabela2[[#This Row],[TIPO]]="NÃO BASE","",INDEX(INDIRECT("'"&amp;Tabela2[[#This Row],[MODELO]]&amp;"'!$A$1:$A$5000"),MATCH("Precipitação verificada:",OFFSET(INDIRECT("'"&amp;Tabela2[[#This Row],[MODELO]]&amp;"'!$A$1"),MATCH("Sub-bacia modelada: "&amp;Tabela2[[#This Row],[SUBBACIA MODELADA]],INDIRECT("'"&amp;Tabela2[[#This Row],[MODELO]]&amp;"'!$A$1:$A$5000"),0),0,25,1),0)+MATCH("Sub-bacia modelada: "&amp;Tabela2[[#This Row],[SUBBACIA MODELADA]],INDIRECT("'"&amp;Tabela2[[#This Row],[MODELO]]&amp;"'!$A$1:$A$5000"),0)+3))</f>
        <v>PSATSUIC</v>
      </c>
    </row>
  </sheetData>
  <phoneticPr fontId="8" type="noConversion"/>
  <pageMargins left="0.511811024" right="0.511811024" top="0.78740157499999996" bottom="0.78740157499999996" header="0.31496062000000002" footer="0.31496062000000002"/>
  <ignoredErrors>
    <ignoredError sqref="A163" formula="1"/>
    <ignoredError sqref="L16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N480"/>
  <sheetViews>
    <sheetView topLeftCell="A29" zoomScale="85" zoomScaleNormal="85" workbookViewId="0">
      <selection activeCell="B6" sqref="B6"/>
    </sheetView>
  </sheetViews>
  <sheetFormatPr defaultColWidth="9.140625" defaultRowHeight="15" x14ac:dyDescent="0.25"/>
  <cols>
    <col min="1" max="1" width="10.7109375" style="32" customWidth="1"/>
    <col min="2" max="2" width="26.7109375" style="1" bestFit="1" customWidth="1"/>
    <col min="3" max="14" width="9.140625" style="32"/>
    <col min="15" max="15" width="14.85546875" style="1" customWidth="1"/>
    <col min="16" max="16384" width="9.140625" style="1"/>
  </cols>
  <sheetData>
    <row r="1" spans="1:14" ht="19.5" thickTop="1" x14ac:dyDescent="0.25">
      <c r="A1" s="160" t="s">
        <v>290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2"/>
    </row>
    <row r="2" spans="1:14" x14ac:dyDescent="0.25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5"/>
    </row>
    <row r="3" spans="1:14" ht="18.75" x14ac:dyDescent="0.25">
      <c r="A3" s="146" t="s">
        <v>291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8"/>
    </row>
    <row r="4" spans="1:14" x14ac:dyDescent="0.25">
      <c r="A4" s="149" t="s">
        <v>292</v>
      </c>
      <c r="B4" s="150" t="s">
        <v>293</v>
      </c>
      <c r="C4" s="157" t="s">
        <v>294</v>
      </c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9"/>
    </row>
    <row r="5" spans="1:14" x14ac:dyDescent="0.25">
      <c r="A5" s="149"/>
      <c r="B5" s="150"/>
      <c r="C5" s="30" t="s">
        <v>295</v>
      </c>
      <c r="D5" s="30" t="s">
        <v>296</v>
      </c>
      <c r="E5" s="30" t="s">
        <v>297</v>
      </c>
      <c r="F5" s="30" t="s">
        <v>298</v>
      </c>
      <c r="G5" s="30" t="s">
        <v>299</v>
      </c>
      <c r="H5" s="30" t="s">
        <v>300</v>
      </c>
      <c r="I5" s="30" t="s">
        <v>301</v>
      </c>
      <c r="J5" s="30" t="s">
        <v>302</v>
      </c>
      <c r="K5" s="30" t="s">
        <v>303</v>
      </c>
      <c r="L5" s="30" t="s">
        <v>304</v>
      </c>
      <c r="M5" s="30" t="s">
        <v>305</v>
      </c>
      <c r="N5" s="10" t="s">
        <v>306</v>
      </c>
    </row>
    <row r="6" spans="1:14" x14ac:dyDescent="0.25">
      <c r="A6" s="11">
        <v>1</v>
      </c>
      <c r="B6" s="5" t="s">
        <v>10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12">
        <v>1</v>
      </c>
    </row>
    <row r="7" spans="1:14" x14ac:dyDescent="0.25">
      <c r="A7" s="13">
        <v>2</v>
      </c>
      <c r="B7" s="3" t="s">
        <v>307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14">
        <v>0</v>
      </c>
    </row>
    <row r="8" spans="1:14" x14ac:dyDescent="0.25">
      <c r="A8" s="143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5"/>
    </row>
    <row r="9" spans="1:14" x14ac:dyDescent="0.25">
      <c r="A9" s="149" t="s">
        <v>292</v>
      </c>
      <c r="B9" s="150" t="s">
        <v>293</v>
      </c>
      <c r="C9" s="157" t="s">
        <v>308</v>
      </c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9"/>
    </row>
    <row r="10" spans="1:14" x14ac:dyDescent="0.25">
      <c r="A10" s="149"/>
      <c r="B10" s="150"/>
      <c r="C10" s="30" t="s">
        <v>295</v>
      </c>
      <c r="D10" s="30" t="s">
        <v>296</v>
      </c>
      <c r="E10" s="30" t="s">
        <v>297</v>
      </c>
      <c r="F10" s="30" t="s">
        <v>298</v>
      </c>
      <c r="G10" s="30" t="s">
        <v>299</v>
      </c>
      <c r="H10" s="30" t="s">
        <v>300</v>
      </c>
      <c r="I10" s="30" t="s">
        <v>301</v>
      </c>
      <c r="J10" s="30" t="s">
        <v>302</v>
      </c>
      <c r="K10" s="30" t="s">
        <v>303</v>
      </c>
      <c r="L10" s="30" t="s">
        <v>304</v>
      </c>
      <c r="M10" s="30" t="s">
        <v>305</v>
      </c>
      <c r="N10" s="10" t="s">
        <v>306</v>
      </c>
    </row>
    <row r="11" spans="1:14" x14ac:dyDescent="0.25">
      <c r="A11" s="11">
        <v>2</v>
      </c>
      <c r="B11" s="5" t="s">
        <v>307</v>
      </c>
      <c r="C11" s="29">
        <v>4.9400000000000004</v>
      </c>
      <c r="D11" s="29">
        <v>5.18</v>
      </c>
      <c r="E11" s="29">
        <v>4.6100000000000003</v>
      </c>
      <c r="F11" s="29">
        <v>3.83</v>
      </c>
      <c r="G11" s="29">
        <v>3.23</v>
      </c>
      <c r="H11" s="29">
        <v>2.9</v>
      </c>
      <c r="I11" s="29">
        <v>3.35</v>
      </c>
      <c r="J11" s="29">
        <v>4.3499999999999996</v>
      </c>
      <c r="K11" s="29">
        <v>4.57</v>
      </c>
      <c r="L11" s="29">
        <v>4.8099999999999996</v>
      </c>
      <c r="M11" s="29">
        <v>4.87</v>
      </c>
      <c r="N11" s="36">
        <v>4.6500000000000004</v>
      </c>
    </row>
    <row r="12" spans="1:14" x14ac:dyDescent="0.25">
      <c r="A12" s="165"/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7"/>
    </row>
    <row r="13" spans="1:14" ht="18.75" x14ac:dyDescent="0.25">
      <c r="A13" s="146" t="s">
        <v>309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8"/>
    </row>
    <row r="14" spans="1:14" x14ac:dyDescent="0.25">
      <c r="A14" s="149" t="s">
        <v>292</v>
      </c>
      <c r="B14" s="150" t="s">
        <v>293</v>
      </c>
      <c r="C14" s="150" t="s">
        <v>1</v>
      </c>
      <c r="D14" s="150" t="s">
        <v>2</v>
      </c>
      <c r="E14" s="150" t="s">
        <v>310</v>
      </c>
      <c r="F14" s="150"/>
      <c r="G14" s="150"/>
      <c r="H14" s="150"/>
      <c r="I14" s="30"/>
      <c r="J14" s="30"/>
      <c r="K14" s="30"/>
      <c r="L14" s="30"/>
      <c r="M14" s="30"/>
      <c r="N14" s="10"/>
    </row>
    <row r="15" spans="1:14" x14ac:dyDescent="0.25">
      <c r="A15" s="149"/>
      <c r="B15" s="150"/>
      <c r="C15" s="150"/>
      <c r="D15" s="150"/>
      <c r="E15" s="30" t="s">
        <v>292</v>
      </c>
      <c r="F15" s="30" t="s">
        <v>293</v>
      </c>
      <c r="G15" s="30" t="s">
        <v>1</v>
      </c>
      <c r="H15" s="30" t="s">
        <v>2</v>
      </c>
      <c r="I15" s="30"/>
      <c r="J15" s="30"/>
      <c r="K15" s="30"/>
      <c r="L15" s="30"/>
      <c r="M15" s="30"/>
      <c r="N15" s="10"/>
    </row>
    <row r="16" spans="1:14" x14ac:dyDescent="0.25">
      <c r="A16" s="15" t="s">
        <v>9</v>
      </c>
      <c r="B16" s="5" t="s">
        <v>10</v>
      </c>
      <c r="C16" s="35">
        <v>-21.28</v>
      </c>
      <c r="D16" s="35">
        <v>-44.63</v>
      </c>
      <c r="E16" s="35"/>
      <c r="F16" s="35"/>
      <c r="G16" s="35"/>
      <c r="H16" s="35"/>
      <c r="I16" s="35"/>
      <c r="J16" s="35"/>
      <c r="K16" s="35"/>
      <c r="L16" s="35"/>
      <c r="M16" s="35"/>
      <c r="N16" s="16"/>
    </row>
    <row r="17" spans="1:14" x14ac:dyDescent="0.25">
      <c r="A17" s="143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5"/>
    </row>
    <row r="18" spans="1:14" ht="18.75" x14ac:dyDescent="0.25">
      <c r="A18" s="146" t="s">
        <v>311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8"/>
    </row>
    <row r="19" spans="1:14" x14ac:dyDescent="0.25">
      <c r="A19" s="149" t="s">
        <v>292</v>
      </c>
      <c r="B19" s="150" t="s">
        <v>293</v>
      </c>
      <c r="C19" s="151" t="s">
        <v>312</v>
      </c>
      <c r="D19" s="152"/>
      <c r="E19" s="152"/>
      <c r="F19" s="153"/>
      <c r="G19" s="151" t="s">
        <v>313</v>
      </c>
      <c r="H19" s="152"/>
      <c r="I19" s="152"/>
      <c r="J19" s="153"/>
      <c r="K19" s="30"/>
      <c r="L19" s="30"/>
      <c r="M19" s="30"/>
      <c r="N19" s="10"/>
    </row>
    <row r="20" spans="1:14" x14ac:dyDescent="0.25">
      <c r="A20" s="149"/>
      <c r="B20" s="150"/>
      <c r="C20" s="154"/>
      <c r="D20" s="155"/>
      <c r="E20" s="155"/>
      <c r="F20" s="156"/>
      <c r="G20" s="154"/>
      <c r="H20" s="155"/>
      <c r="I20" s="155"/>
      <c r="J20" s="156"/>
      <c r="K20" s="30"/>
      <c r="L20" s="30"/>
      <c r="M20" s="30"/>
      <c r="N20" s="10"/>
    </row>
    <row r="21" spans="1:14" ht="15.75" thickBot="1" x14ac:dyDescent="0.3">
      <c r="A21" s="17"/>
      <c r="B21" s="18"/>
      <c r="C21" s="142"/>
      <c r="D21" s="142"/>
      <c r="E21" s="142"/>
      <c r="F21" s="142"/>
      <c r="G21" s="142"/>
      <c r="H21" s="142"/>
      <c r="I21" s="142"/>
      <c r="J21" s="142"/>
      <c r="K21" s="19"/>
      <c r="L21" s="19"/>
      <c r="M21" s="19"/>
      <c r="N21" s="20"/>
    </row>
    <row r="22" spans="1:14" ht="16.5" thickTop="1" thickBot="1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</row>
    <row r="23" spans="1:14" ht="19.5" thickTop="1" x14ac:dyDescent="0.25">
      <c r="A23" s="160" t="s">
        <v>314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2"/>
    </row>
    <row r="24" spans="1:14" x14ac:dyDescent="0.25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5"/>
    </row>
    <row r="25" spans="1:14" ht="18.75" x14ac:dyDescent="0.25">
      <c r="A25" s="146" t="s">
        <v>291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8"/>
    </row>
    <row r="26" spans="1:14" x14ac:dyDescent="0.25">
      <c r="A26" s="149" t="s">
        <v>292</v>
      </c>
      <c r="B26" s="150" t="s">
        <v>293</v>
      </c>
      <c r="C26" s="157" t="s">
        <v>294</v>
      </c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9"/>
    </row>
    <row r="27" spans="1:14" x14ac:dyDescent="0.25">
      <c r="A27" s="149"/>
      <c r="B27" s="150"/>
      <c r="C27" s="30" t="s">
        <v>295</v>
      </c>
      <c r="D27" s="30" t="s">
        <v>296</v>
      </c>
      <c r="E27" s="30" t="s">
        <v>297</v>
      </c>
      <c r="F27" s="30" t="s">
        <v>298</v>
      </c>
      <c r="G27" s="30" t="s">
        <v>299</v>
      </c>
      <c r="H27" s="30" t="s">
        <v>300</v>
      </c>
      <c r="I27" s="30" t="s">
        <v>301</v>
      </c>
      <c r="J27" s="30" t="s">
        <v>302</v>
      </c>
      <c r="K27" s="30" t="s">
        <v>303</v>
      </c>
      <c r="L27" s="30" t="s">
        <v>304</v>
      </c>
      <c r="M27" s="30" t="s">
        <v>305</v>
      </c>
      <c r="N27" s="10" t="s">
        <v>306</v>
      </c>
    </row>
    <row r="28" spans="1:14" x14ac:dyDescent="0.25">
      <c r="A28" s="11">
        <v>211</v>
      </c>
      <c r="B28" s="5" t="s">
        <v>315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2"/>
    </row>
    <row r="29" spans="1:14" x14ac:dyDescent="0.25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5"/>
    </row>
    <row r="30" spans="1:14" x14ac:dyDescent="0.25">
      <c r="A30" s="149" t="s">
        <v>292</v>
      </c>
      <c r="B30" s="150" t="s">
        <v>293</v>
      </c>
      <c r="C30" s="157" t="s">
        <v>308</v>
      </c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9"/>
    </row>
    <row r="31" spans="1:14" x14ac:dyDescent="0.25">
      <c r="A31" s="149"/>
      <c r="B31" s="150"/>
      <c r="C31" s="30" t="s">
        <v>295</v>
      </c>
      <c r="D31" s="30" t="s">
        <v>296</v>
      </c>
      <c r="E31" s="30" t="s">
        <v>297</v>
      </c>
      <c r="F31" s="30" t="s">
        <v>298</v>
      </c>
      <c r="G31" s="30" t="s">
        <v>299</v>
      </c>
      <c r="H31" s="30" t="s">
        <v>300</v>
      </c>
      <c r="I31" s="30" t="s">
        <v>301</v>
      </c>
      <c r="J31" s="30" t="s">
        <v>302</v>
      </c>
      <c r="K31" s="30" t="s">
        <v>303</v>
      </c>
      <c r="L31" s="30" t="s">
        <v>304</v>
      </c>
      <c r="M31" s="30" t="s">
        <v>305</v>
      </c>
      <c r="N31" s="10" t="s">
        <v>306</v>
      </c>
    </row>
    <row r="32" spans="1:14" x14ac:dyDescent="0.25">
      <c r="A32" s="11">
        <v>211</v>
      </c>
      <c r="B32" s="5" t="s">
        <v>315</v>
      </c>
      <c r="C32" s="29">
        <v>5.03</v>
      </c>
      <c r="D32" s="29">
        <v>5.21</v>
      </c>
      <c r="E32" s="29">
        <v>4.68</v>
      </c>
      <c r="F32" s="29">
        <v>4.03</v>
      </c>
      <c r="G32" s="29">
        <v>3.26</v>
      </c>
      <c r="H32" s="29">
        <v>2.97</v>
      </c>
      <c r="I32" s="29">
        <v>3.39</v>
      </c>
      <c r="J32" s="29">
        <v>4.3899999999999997</v>
      </c>
      <c r="K32" s="29">
        <v>4.83</v>
      </c>
      <c r="L32" s="29">
        <v>5.03</v>
      </c>
      <c r="M32" s="29">
        <v>5.03</v>
      </c>
      <c r="N32" s="36">
        <v>4.68</v>
      </c>
    </row>
    <row r="33" spans="1:14" x14ac:dyDescent="0.25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5"/>
    </row>
    <row r="34" spans="1:14" ht="18.75" x14ac:dyDescent="0.25">
      <c r="A34" s="146" t="s">
        <v>309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8"/>
    </row>
    <row r="35" spans="1:14" x14ac:dyDescent="0.25">
      <c r="A35" s="149" t="s">
        <v>292</v>
      </c>
      <c r="B35" s="150" t="s">
        <v>293</v>
      </c>
      <c r="C35" s="150" t="s">
        <v>1</v>
      </c>
      <c r="D35" s="150" t="s">
        <v>2</v>
      </c>
      <c r="E35" s="150" t="s">
        <v>310</v>
      </c>
      <c r="F35" s="150"/>
      <c r="G35" s="150"/>
      <c r="H35" s="150"/>
      <c r="I35" s="30"/>
      <c r="J35" s="30"/>
      <c r="K35" s="30"/>
      <c r="L35" s="30"/>
      <c r="M35" s="30"/>
      <c r="N35" s="10"/>
    </row>
    <row r="36" spans="1:14" x14ac:dyDescent="0.25">
      <c r="A36" s="149"/>
      <c r="B36" s="150"/>
      <c r="C36" s="150"/>
      <c r="D36" s="150"/>
      <c r="E36" s="30" t="s">
        <v>292</v>
      </c>
      <c r="F36" s="30" t="s">
        <v>293</v>
      </c>
      <c r="G36" s="30" t="s">
        <v>1</v>
      </c>
      <c r="H36" s="30" t="s">
        <v>2</v>
      </c>
      <c r="I36" s="30"/>
      <c r="J36" s="30"/>
      <c r="K36" s="30"/>
      <c r="L36" s="30"/>
      <c r="M36" s="30"/>
      <c r="N36" s="10"/>
    </row>
    <row r="37" spans="1:14" x14ac:dyDescent="0.25">
      <c r="A37" s="15" t="s">
        <v>15</v>
      </c>
      <c r="B37" s="5" t="s">
        <v>315</v>
      </c>
      <c r="C37" s="35">
        <v>-21.14</v>
      </c>
      <c r="D37" s="35">
        <v>-45.04</v>
      </c>
      <c r="E37" s="35"/>
      <c r="F37" s="35"/>
      <c r="G37" s="35"/>
      <c r="H37" s="35"/>
      <c r="I37" s="35"/>
      <c r="J37" s="35"/>
      <c r="K37" s="35"/>
      <c r="L37" s="35"/>
      <c r="M37" s="35"/>
      <c r="N37" s="16"/>
    </row>
    <row r="38" spans="1:14" x14ac:dyDescent="0.25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5"/>
    </row>
    <row r="39" spans="1:14" ht="18.75" x14ac:dyDescent="0.25">
      <c r="A39" s="146" t="s">
        <v>311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8"/>
    </row>
    <row r="40" spans="1:14" x14ac:dyDescent="0.25">
      <c r="A40" s="149" t="s">
        <v>292</v>
      </c>
      <c r="B40" s="150" t="s">
        <v>293</v>
      </c>
      <c r="C40" s="151" t="s">
        <v>312</v>
      </c>
      <c r="D40" s="152"/>
      <c r="E40" s="152"/>
      <c r="F40" s="153"/>
      <c r="G40" s="151" t="s">
        <v>313</v>
      </c>
      <c r="H40" s="152"/>
      <c r="I40" s="152"/>
      <c r="J40" s="153"/>
      <c r="K40" s="30"/>
      <c r="L40" s="30"/>
      <c r="M40" s="30"/>
      <c r="N40" s="10"/>
    </row>
    <row r="41" spans="1:14" x14ac:dyDescent="0.25">
      <c r="A41" s="149"/>
      <c r="B41" s="150"/>
      <c r="C41" s="154"/>
      <c r="D41" s="155"/>
      <c r="E41" s="155"/>
      <c r="F41" s="156"/>
      <c r="G41" s="154"/>
      <c r="H41" s="155"/>
      <c r="I41" s="155"/>
      <c r="J41" s="156"/>
      <c r="K41" s="30"/>
      <c r="L41" s="30"/>
      <c r="M41" s="30"/>
      <c r="N41" s="10"/>
    </row>
    <row r="42" spans="1:14" ht="15.75" thickBot="1" x14ac:dyDescent="0.3">
      <c r="A42" s="17"/>
      <c r="B42" s="18"/>
      <c r="C42" s="142"/>
      <c r="D42" s="142"/>
      <c r="E42" s="142"/>
      <c r="F42" s="142"/>
      <c r="G42" s="142"/>
      <c r="H42" s="142"/>
      <c r="I42" s="142"/>
      <c r="J42" s="142"/>
      <c r="K42" s="19"/>
      <c r="L42" s="19"/>
      <c r="M42" s="19"/>
      <c r="N42" s="20"/>
    </row>
    <row r="43" spans="1:14" ht="16.5" thickTop="1" thickBot="1" x14ac:dyDescent="0.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</row>
    <row r="44" spans="1:14" ht="19.5" thickTop="1" x14ac:dyDescent="0.25">
      <c r="A44" s="160" t="s">
        <v>316</v>
      </c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2"/>
    </row>
    <row r="45" spans="1:14" x14ac:dyDescent="0.25">
      <c r="A45" s="143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5"/>
    </row>
    <row r="46" spans="1:14" ht="18.75" x14ac:dyDescent="0.25">
      <c r="A46" s="146" t="s">
        <v>291</v>
      </c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8"/>
    </row>
    <row r="47" spans="1:14" x14ac:dyDescent="0.25">
      <c r="A47" s="149" t="s">
        <v>292</v>
      </c>
      <c r="B47" s="150" t="s">
        <v>293</v>
      </c>
      <c r="C47" s="157" t="s">
        <v>294</v>
      </c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9"/>
    </row>
    <row r="48" spans="1:14" x14ac:dyDescent="0.25">
      <c r="A48" s="149"/>
      <c r="B48" s="150"/>
      <c r="C48" s="30" t="s">
        <v>295</v>
      </c>
      <c r="D48" s="30" t="s">
        <v>296</v>
      </c>
      <c r="E48" s="30" t="s">
        <v>297</v>
      </c>
      <c r="F48" s="30" t="s">
        <v>298</v>
      </c>
      <c r="G48" s="30" t="s">
        <v>299</v>
      </c>
      <c r="H48" s="30" t="s">
        <v>300</v>
      </c>
      <c r="I48" s="30" t="s">
        <v>301</v>
      </c>
      <c r="J48" s="30" t="s">
        <v>302</v>
      </c>
      <c r="K48" s="30" t="s">
        <v>303</v>
      </c>
      <c r="L48" s="30" t="s">
        <v>304</v>
      </c>
      <c r="M48" s="30" t="s">
        <v>305</v>
      </c>
      <c r="N48" s="10" t="s">
        <v>306</v>
      </c>
    </row>
    <row r="49" spans="1:14" x14ac:dyDescent="0.25">
      <c r="A49" s="11">
        <v>6</v>
      </c>
      <c r="B49" s="5" t="s">
        <v>18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12">
        <v>1</v>
      </c>
    </row>
    <row r="50" spans="1:14" x14ac:dyDescent="0.25">
      <c r="A50" s="143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5"/>
    </row>
    <row r="51" spans="1:14" x14ac:dyDescent="0.25">
      <c r="A51" s="149" t="s">
        <v>292</v>
      </c>
      <c r="B51" s="150" t="s">
        <v>293</v>
      </c>
      <c r="C51" s="157" t="s">
        <v>308</v>
      </c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9"/>
    </row>
    <row r="52" spans="1:14" x14ac:dyDescent="0.25">
      <c r="A52" s="149"/>
      <c r="B52" s="150"/>
      <c r="C52" s="30" t="s">
        <v>295</v>
      </c>
      <c r="D52" s="30" t="s">
        <v>296</v>
      </c>
      <c r="E52" s="30" t="s">
        <v>297</v>
      </c>
      <c r="F52" s="30" t="s">
        <v>298</v>
      </c>
      <c r="G52" s="30" t="s">
        <v>299</v>
      </c>
      <c r="H52" s="30" t="s">
        <v>300</v>
      </c>
      <c r="I52" s="30" t="s">
        <v>301</v>
      </c>
      <c r="J52" s="30" t="s">
        <v>302</v>
      </c>
      <c r="K52" s="30" t="s">
        <v>303</v>
      </c>
      <c r="L52" s="30" t="s">
        <v>304</v>
      </c>
      <c r="M52" s="30" t="s">
        <v>305</v>
      </c>
      <c r="N52" s="10" t="s">
        <v>306</v>
      </c>
    </row>
    <row r="53" spans="1:14" x14ac:dyDescent="0.25">
      <c r="A53" s="11">
        <v>6</v>
      </c>
      <c r="B53" s="5" t="s">
        <v>18</v>
      </c>
      <c r="C53" s="29">
        <v>4.9400000000000004</v>
      </c>
      <c r="D53" s="29">
        <v>5.18</v>
      </c>
      <c r="E53" s="29">
        <v>4.7699999999999996</v>
      </c>
      <c r="F53" s="29">
        <v>4.2300000000000004</v>
      </c>
      <c r="G53" s="29">
        <v>3.55</v>
      </c>
      <c r="H53" s="29">
        <v>3.23</v>
      </c>
      <c r="I53" s="29">
        <v>3.71</v>
      </c>
      <c r="J53" s="29">
        <v>4.84</v>
      </c>
      <c r="K53" s="29">
        <v>5.2</v>
      </c>
      <c r="L53" s="29">
        <v>5.29</v>
      </c>
      <c r="M53" s="29">
        <v>5.27</v>
      </c>
      <c r="N53" s="36">
        <v>4.71</v>
      </c>
    </row>
    <row r="54" spans="1:14" x14ac:dyDescent="0.25">
      <c r="A54" s="143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5"/>
    </row>
    <row r="55" spans="1:14" ht="18.75" x14ac:dyDescent="0.25">
      <c r="A55" s="146" t="s">
        <v>309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8"/>
    </row>
    <row r="56" spans="1:14" x14ac:dyDescent="0.25">
      <c r="A56" s="149" t="s">
        <v>292</v>
      </c>
      <c r="B56" s="150" t="s">
        <v>293</v>
      </c>
      <c r="C56" s="150" t="s">
        <v>1</v>
      </c>
      <c r="D56" s="150" t="s">
        <v>2</v>
      </c>
      <c r="E56" s="150" t="s">
        <v>310</v>
      </c>
      <c r="F56" s="150"/>
      <c r="G56" s="150"/>
      <c r="H56" s="150"/>
      <c r="I56" s="30"/>
      <c r="J56" s="30"/>
      <c r="K56" s="30"/>
      <c r="L56" s="30"/>
      <c r="M56" s="30"/>
      <c r="N56" s="10"/>
    </row>
    <row r="57" spans="1:14" x14ac:dyDescent="0.25">
      <c r="A57" s="149"/>
      <c r="B57" s="150"/>
      <c r="C57" s="150"/>
      <c r="D57" s="150"/>
      <c r="E57" s="30" t="s">
        <v>292</v>
      </c>
      <c r="F57" s="30" t="s">
        <v>293</v>
      </c>
      <c r="G57" s="30" t="s">
        <v>1</v>
      </c>
      <c r="H57" s="30" t="s">
        <v>2</v>
      </c>
      <c r="I57" s="30"/>
      <c r="J57" s="30"/>
      <c r="K57" s="30"/>
      <c r="L57" s="30"/>
      <c r="M57" s="30"/>
      <c r="N57" s="10"/>
    </row>
    <row r="58" spans="1:14" x14ac:dyDescent="0.25">
      <c r="A58" s="15" t="s">
        <v>17</v>
      </c>
      <c r="B58" s="5" t="s">
        <v>18</v>
      </c>
      <c r="C58" s="35">
        <v>-20.67</v>
      </c>
      <c r="D58" s="35">
        <v>-46.32</v>
      </c>
      <c r="E58" s="35"/>
      <c r="F58" s="35"/>
      <c r="G58" s="35"/>
      <c r="H58" s="35"/>
      <c r="I58" s="35"/>
      <c r="J58" s="35"/>
      <c r="K58" s="35"/>
      <c r="L58" s="35"/>
      <c r="M58" s="35"/>
      <c r="N58" s="16"/>
    </row>
    <row r="59" spans="1:14" x14ac:dyDescent="0.25">
      <c r="A59" s="143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5"/>
    </row>
    <row r="60" spans="1:14" ht="18.75" x14ac:dyDescent="0.25">
      <c r="A60" s="146" t="s">
        <v>311</v>
      </c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8"/>
    </row>
    <row r="61" spans="1:14" x14ac:dyDescent="0.25">
      <c r="A61" s="149" t="s">
        <v>292</v>
      </c>
      <c r="B61" s="150" t="s">
        <v>293</v>
      </c>
      <c r="C61" s="151" t="s">
        <v>312</v>
      </c>
      <c r="D61" s="152"/>
      <c r="E61" s="152"/>
      <c r="F61" s="153"/>
      <c r="G61" s="151" t="s">
        <v>313</v>
      </c>
      <c r="H61" s="152"/>
      <c r="I61" s="152"/>
      <c r="J61" s="153"/>
      <c r="K61" s="30"/>
      <c r="L61" s="30"/>
      <c r="M61" s="30"/>
      <c r="N61" s="10"/>
    </row>
    <row r="62" spans="1:14" x14ac:dyDescent="0.25">
      <c r="A62" s="149"/>
      <c r="B62" s="150"/>
      <c r="C62" s="154"/>
      <c r="D62" s="155"/>
      <c r="E62" s="155"/>
      <c r="F62" s="156"/>
      <c r="G62" s="154"/>
      <c r="H62" s="155"/>
      <c r="I62" s="155"/>
      <c r="J62" s="156"/>
      <c r="K62" s="30"/>
      <c r="L62" s="30"/>
      <c r="M62" s="30"/>
      <c r="N62" s="10"/>
    </row>
    <row r="63" spans="1:14" x14ac:dyDescent="0.25">
      <c r="A63" s="15">
        <v>61661000</v>
      </c>
      <c r="B63" s="5" t="s">
        <v>317</v>
      </c>
      <c r="C63" s="164" t="s">
        <v>318</v>
      </c>
      <c r="D63" s="164"/>
      <c r="E63" s="164"/>
      <c r="F63" s="164"/>
      <c r="G63" s="164">
        <v>10</v>
      </c>
      <c r="H63" s="164"/>
      <c r="I63" s="164"/>
      <c r="J63" s="164"/>
      <c r="K63" s="35"/>
      <c r="L63" s="35"/>
      <c r="M63" s="35"/>
      <c r="N63" s="16"/>
    </row>
    <row r="64" spans="1:14" ht="15.75" thickBot="1" x14ac:dyDescent="0.3">
      <c r="A64" s="21">
        <v>61661000</v>
      </c>
      <c r="B64" s="22" t="s">
        <v>26</v>
      </c>
      <c r="C64" s="163" t="s">
        <v>318</v>
      </c>
      <c r="D64" s="163"/>
      <c r="E64" s="163"/>
      <c r="F64" s="163"/>
      <c r="G64" s="163">
        <v>12</v>
      </c>
      <c r="H64" s="163"/>
      <c r="I64" s="163"/>
      <c r="J64" s="163"/>
      <c r="K64" s="33"/>
      <c r="L64" s="33"/>
      <c r="M64" s="33"/>
      <c r="N64" s="23"/>
    </row>
    <row r="65" spans="1:14" ht="16.5" thickTop="1" thickBot="1" x14ac:dyDescent="0.3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</row>
    <row r="66" spans="1:14" ht="19.5" thickTop="1" x14ac:dyDescent="0.25">
      <c r="A66" s="160" t="s">
        <v>319</v>
      </c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2"/>
    </row>
    <row r="67" spans="1:14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5"/>
    </row>
    <row r="68" spans="1:14" ht="18.75" x14ac:dyDescent="0.25">
      <c r="A68" s="146" t="s">
        <v>291</v>
      </c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8"/>
    </row>
    <row r="69" spans="1:14" x14ac:dyDescent="0.25">
      <c r="A69" s="149" t="s">
        <v>292</v>
      </c>
      <c r="B69" s="150" t="s">
        <v>293</v>
      </c>
      <c r="C69" s="157" t="s">
        <v>294</v>
      </c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9"/>
    </row>
    <row r="70" spans="1:14" x14ac:dyDescent="0.25">
      <c r="A70" s="149"/>
      <c r="B70" s="150"/>
      <c r="C70" s="30" t="s">
        <v>295</v>
      </c>
      <c r="D70" s="30" t="s">
        <v>296</v>
      </c>
      <c r="E70" s="30" t="s">
        <v>297</v>
      </c>
      <c r="F70" s="30" t="s">
        <v>298</v>
      </c>
      <c r="G70" s="30" t="s">
        <v>299</v>
      </c>
      <c r="H70" s="30" t="s">
        <v>300</v>
      </c>
      <c r="I70" s="30" t="s">
        <v>301</v>
      </c>
      <c r="J70" s="30" t="s">
        <v>302</v>
      </c>
      <c r="K70" s="30" t="s">
        <v>303</v>
      </c>
      <c r="L70" s="30" t="s">
        <v>304</v>
      </c>
      <c r="M70" s="30" t="s">
        <v>305</v>
      </c>
      <c r="N70" s="10" t="s">
        <v>306</v>
      </c>
    </row>
    <row r="71" spans="1:14" x14ac:dyDescent="0.25">
      <c r="A71" s="11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12"/>
    </row>
    <row r="72" spans="1:14" x14ac:dyDescent="0.25">
      <c r="A72" s="143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5"/>
    </row>
    <row r="73" spans="1:14" x14ac:dyDescent="0.25">
      <c r="A73" s="149" t="s">
        <v>292</v>
      </c>
      <c r="B73" s="150" t="s">
        <v>293</v>
      </c>
      <c r="C73" s="157" t="s">
        <v>308</v>
      </c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9"/>
    </row>
    <row r="74" spans="1:14" x14ac:dyDescent="0.25">
      <c r="A74" s="149"/>
      <c r="B74" s="150"/>
      <c r="C74" s="30" t="s">
        <v>295</v>
      </c>
      <c r="D74" s="30" t="s">
        <v>296</v>
      </c>
      <c r="E74" s="30" t="s">
        <v>297</v>
      </c>
      <c r="F74" s="30" t="s">
        <v>298</v>
      </c>
      <c r="G74" s="30" t="s">
        <v>299</v>
      </c>
      <c r="H74" s="30" t="s">
        <v>300</v>
      </c>
      <c r="I74" s="30" t="s">
        <v>301</v>
      </c>
      <c r="J74" s="30" t="s">
        <v>302</v>
      </c>
      <c r="K74" s="30" t="s">
        <v>303</v>
      </c>
      <c r="L74" s="30" t="s">
        <v>304</v>
      </c>
      <c r="M74" s="30" t="s">
        <v>305</v>
      </c>
      <c r="N74" s="10" t="s">
        <v>306</v>
      </c>
    </row>
    <row r="75" spans="1:14" x14ac:dyDescent="0.25">
      <c r="A75" s="11">
        <v>61425000</v>
      </c>
      <c r="B75" s="5" t="s">
        <v>320</v>
      </c>
      <c r="C75" s="29">
        <v>4.9400000000000004</v>
      </c>
      <c r="D75" s="29">
        <v>5.18</v>
      </c>
      <c r="E75" s="29">
        <v>4.7699999999999996</v>
      </c>
      <c r="F75" s="29">
        <v>4.2300000000000004</v>
      </c>
      <c r="G75" s="29">
        <v>3.55</v>
      </c>
      <c r="H75" s="29">
        <v>3.23</v>
      </c>
      <c r="I75" s="29">
        <v>3.71</v>
      </c>
      <c r="J75" s="29">
        <v>4.84</v>
      </c>
      <c r="K75" s="29">
        <v>5.2</v>
      </c>
      <c r="L75" s="29">
        <v>5.29</v>
      </c>
      <c r="M75" s="29">
        <v>5.27</v>
      </c>
      <c r="N75" s="36">
        <v>4.71</v>
      </c>
    </row>
    <row r="76" spans="1:14" x14ac:dyDescent="0.25">
      <c r="A76" s="143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5"/>
    </row>
    <row r="77" spans="1:14" ht="18.75" x14ac:dyDescent="0.25">
      <c r="A77" s="146" t="s">
        <v>309</v>
      </c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8"/>
    </row>
    <row r="78" spans="1:14" x14ac:dyDescent="0.25">
      <c r="A78" s="149" t="s">
        <v>292</v>
      </c>
      <c r="B78" s="150" t="s">
        <v>293</v>
      </c>
      <c r="C78" s="150" t="s">
        <v>1</v>
      </c>
      <c r="D78" s="150" t="s">
        <v>2</v>
      </c>
      <c r="E78" s="150" t="s">
        <v>310</v>
      </c>
      <c r="F78" s="150"/>
      <c r="G78" s="150"/>
      <c r="H78" s="150"/>
      <c r="I78" s="30"/>
      <c r="J78" s="30"/>
      <c r="K78" s="30"/>
      <c r="L78" s="30"/>
      <c r="M78" s="30"/>
      <c r="N78" s="10"/>
    </row>
    <row r="79" spans="1:14" x14ac:dyDescent="0.25">
      <c r="A79" s="149"/>
      <c r="B79" s="150"/>
      <c r="C79" s="150"/>
      <c r="D79" s="150"/>
      <c r="E79" s="30" t="s">
        <v>292</v>
      </c>
      <c r="F79" s="30" t="s">
        <v>293</v>
      </c>
      <c r="G79" s="30" t="s">
        <v>1</v>
      </c>
      <c r="H79" s="30" t="s">
        <v>2</v>
      </c>
      <c r="I79" s="30"/>
      <c r="J79" s="30"/>
      <c r="K79" s="30"/>
      <c r="L79" s="30"/>
      <c r="M79" s="30"/>
      <c r="N79" s="10"/>
    </row>
    <row r="80" spans="1:14" x14ac:dyDescent="0.25">
      <c r="A80" s="15" t="s">
        <v>21</v>
      </c>
      <c r="B80" s="5" t="s">
        <v>22</v>
      </c>
      <c r="C80" s="35">
        <v>-21.59</v>
      </c>
      <c r="D80" s="35">
        <v>-45.67</v>
      </c>
      <c r="E80" s="35"/>
      <c r="F80" s="35"/>
      <c r="G80" s="35"/>
      <c r="H80" s="35"/>
      <c r="I80" s="35"/>
      <c r="J80" s="35"/>
      <c r="K80" s="35"/>
      <c r="L80" s="35"/>
      <c r="M80" s="35"/>
      <c r="N80" s="16"/>
    </row>
    <row r="81" spans="1:14" x14ac:dyDescent="0.25">
      <c r="A81" s="143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5"/>
    </row>
    <row r="82" spans="1:14" ht="18.75" x14ac:dyDescent="0.25">
      <c r="A82" s="146" t="s">
        <v>311</v>
      </c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8"/>
    </row>
    <row r="83" spans="1:14" x14ac:dyDescent="0.25">
      <c r="A83" s="149" t="s">
        <v>292</v>
      </c>
      <c r="B83" s="150" t="s">
        <v>293</v>
      </c>
      <c r="C83" s="151" t="s">
        <v>312</v>
      </c>
      <c r="D83" s="152"/>
      <c r="E83" s="152"/>
      <c r="F83" s="153"/>
      <c r="G83" s="151" t="s">
        <v>313</v>
      </c>
      <c r="H83" s="152"/>
      <c r="I83" s="152"/>
      <c r="J83" s="153"/>
      <c r="K83" s="30"/>
      <c r="L83" s="30"/>
      <c r="M83" s="30"/>
      <c r="N83" s="10"/>
    </row>
    <row r="84" spans="1:14" x14ac:dyDescent="0.25">
      <c r="A84" s="149"/>
      <c r="B84" s="150"/>
      <c r="C84" s="154"/>
      <c r="D84" s="155"/>
      <c r="E84" s="155"/>
      <c r="F84" s="156"/>
      <c r="G84" s="154"/>
      <c r="H84" s="155"/>
      <c r="I84" s="155"/>
      <c r="J84" s="156"/>
      <c r="K84" s="30"/>
      <c r="L84" s="30"/>
      <c r="M84" s="30"/>
      <c r="N84" s="10"/>
    </row>
    <row r="85" spans="1:14" ht="15.75" thickBot="1" x14ac:dyDescent="0.3">
      <c r="A85" s="17"/>
      <c r="B85" s="18"/>
      <c r="C85" s="142"/>
      <c r="D85" s="142"/>
      <c r="E85" s="142"/>
      <c r="F85" s="142"/>
      <c r="G85" s="142"/>
      <c r="H85" s="142"/>
      <c r="I85" s="142"/>
      <c r="J85" s="142"/>
      <c r="K85" s="19"/>
      <c r="L85" s="19"/>
      <c r="M85" s="19"/>
      <c r="N85" s="20"/>
    </row>
    <row r="86" spans="1:14" ht="16.5" thickTop="1" thickBot="1" x14ac:dyDescent="0.3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</row>
    <row r="87" spans="1:14" ht="19.5" thickTop="1" x14ac:dyDescent="0.25">
      <c r="A87" s="160" t="s">
        <v>321</v>
      </c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2"/>
    </row>
    <row r="88" spans="1:14" x14ac:dyDescent="0.25">
      <c r="A88" s="143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5"/>
    </row>
    <row r="89" spans="1:14" ht="18.75" x14ac:dyDescent="0.25">
      <c r="A89" s="146" t="s">
        <v>291</v>
      </c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8"/>
    </row>
    <row r="90" spans="1:14" x14ac:dyDescent="0.25">
      <c r="A90" s="149" t="s">
        <v>292</v>
      </c>
      <c r="B90" s="150" t="s">
        <v>293</v>
      </c>
      <c r="C90" s="157" t="s">
        <v>294</v>
      </c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9"/>
    </row>
    <row r="91" spans="1:14" x14ac:dyDescent="0.25">
      <c r="A91" s="149"/>
      <c r="B91" s="150"/>
      <c r="C91" s="30" t="s">
        <v>295</v>
      </c>
      <c r="D91" s="30" t="s">
        <v>296</v>
      </c>
      <c r="E91" s="30" t="s">
        <v>297</v>
      </c>
      <c r="F91" s="30" t="s">
        <v>298</v>
      </c>
      <c r="G91" s="30" t="s">
        <v>299</v>
      </c>
      <c r="H91" s="30" t="s">
        <v>300</v>
      </c>
      <c r="I91" s="30" t="s">
        <v>301</v>
      </c>
      <c r="J91" s="30" t="s">
        <v>302</v>
      </c>
      <c r="K91" s="30" t="s">
        <v>303</v>
      </c>
      <c r="L91" s="30" t="s">
        <v>304</v>
      </c>
      <c r="M91" s="30" t="s">
        <v>305</v>
      </c>
      <c r="N91" s="10" t="s">
        <v>306</v>
      </c>
    </row>
    <row r="92" spans="1:14" x14ac:dyDescent="0.25">
      <c r="A92" s="11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12"/>
    </row>
    <row r="93" spans="1:14" x14ac:dyDescent="0.25">
      <c r="A93" s="143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5"/>
    </row>
    <row r="94" spans="1:14" x14ac:dyDescent="0.25">
      <c r="A94" s="149" t="s">
        <v>292</v>
      </c>
      <c r="B94" s="150" t="s">
        <v>293</v>
      </c>
      <c r="C94" s="157" t="s">
        <v>308</v>
      </c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9"/>
    </row>
    <row r="95" spans="1:14" x14ac:dyDescent="0.25">
      <c r="A95" s="149"/>
      <c r="B95" s="150"/>
      <c r="C95" s="30" t="s">
        <v>295</v>
      </c>
      <c r="D95" s="30" t="s">
        <v>296</v>
      </c>
      <c r="E95" s="30" t="s">
        <v>297</v>
      </c>
      <c r="F95" s="30" t="s">
        <v>298</v>
      </c>
      <c r="G95" s="30" t="s">
        <v>299</v>
      </c>
      <c r="H95" s="30" t="s">
        <v>300</v>
      </c>
      <c r="I95" s="30" t="s">
        <v>301</v>
      </c>
      <c r="J95" s="30" t="s">
        <v>302</v>
      </c>
      <c r="K95" s="30" t="s">
        <v>303</v>
      </c>
      <c r="L95" s="30" t="s">
        <v>304</v>
      </c>
      <c r="M95" s="30" t="s">
        <v>305</v>
      </c>
      <c r="N95" s="10" t="s">
        <v>306</v>
      </c>
    </row>
    <row r="96" spans="1:14" x14ac:dyDescent="0.25">
      <c r="A96" s="11">
        <v>61537000</v>
      </c>
      <c r="B96" s="5" t="s">
        <v>26</v>
      </c>
      <c r="C96" s="29">
        <v>4.9400000000000004</v>
      </c>
      <c r="D96" s="29">
        <v>5.18</v>
      </c>
      <c r="E96" s="29">
        <v>4.7699999999999996</v>
      </c>
      <c r="F96" s="29">
        <v>4.2300000000000004</v>
      </c>
      <c r="G96" s="29">
        <v>3.55</v>
      </c>
      <c r="H96" s="29">
        <v>3.23</v>
      </c>
      <c r="I96" s="29">
        <v>3.71</v>
      </c>
      <c r="J96" s="29">
        <v>4.84</v>
      </c>
      <c r="K96" s="29">
        <v>5.2</v>
      </c>
      <c r="L96" s="29">
        <v>5.29</v>
      </c>
      <c r="M96" s="29">
        <v>5.27</v>
      </c>
      <c r="N96" s="36">
        <v>4.71</v>
      </c>
    </row>
    <row r="97" spans="1:14" x14ac:dyDescent="0.25">
      <c r="A97" s="143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5"/>
    </row>
    <row r="98" spans="1:14" ht="18.75" x14ac:dyDescent="0.25">
      <c r="A98" s="146" t="s">
        <v>309</v>
      </c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8"/>
    </row>
    <row r="99" spans="1:14" x14ac:dyDescent="0.25">
      <c r="A99" s="149" t="s">
        <v>292</v>
      </c>
      <c r="B99" s="150" t="s">
        <v>293</v>
      </c>
      <c r="C99" s="150" t="s">
        <v>1</v>
      </c>
      <c r="D99" s="150" t="s">
        <v>2</v>
      </c>
      <c r="E99" s="150" t="s">
        <v>310</v>
      </c>
      <c r="F99" s="150"/>
      <c r="G99" s="150"/>
      <c r="H99" s="150"/>
      <c r="I99" s="30"/>
      <c r="J99" s="30"/>
      <c r="K99" s="30"/>
      <c r="L99" s="30"/>
      <c r="M99" s="30"/>
      <c r="N99" s="10"/>
    </row>
    <row r="100" spans="1:14" x14ac:dyDescent="0.25">
      <c r="A100" s="149"/>
      <c r="B100" s="150"/>
      <c r="C100" s="150"/>
      <c r="D100" s="150"/>
      <c r="E100" s="30" t="s">
        <v>292</v>
      </c>
      <c r="F100" s="30" t="s">
        <v>293</v>
      </c>
      <c r="G100" s="30" t="s">
        <v>1</v>
      </c>
      <c r="H100" s="30" t="s">
        <v>2</v>
      </c>
      <c r="I100" s="30"/>
      <c r="J100" s="30"/>
      <c r="K100" s="30"/>
      <c r="L100" s="30"/>
      <c r="M100" s="30"/>
      <c r="N100" s="10"/>
    </row>
    <row r="101" spans="1:14" x14ac:dyDescent="0.25">
      <c r="A101" s="15" t="s">
        <v>25</v>
      </c>
      <c r="B101" s="5" t="s">
        <v>26</v>
      </c>
      <c r="C101" s="35">
        <v>-21.61</v>
      </c>
      <c r="D101" s="35">
        <v>-45.49</v>
      </c>
      <c r="E101" s="35"/>
      <c r="F101" s="26"/>
      <c r="G101" s="35"/>
      <c r="H101" s="35"/>
      <c r="I101" s="35"/>
      <c r="J101" s="35"/>
      <c r="K101" s="35"/>
      <c r="L101" s="35"/>
      <c r="M101" s="35"/>
      <c r="N101" s="16"/>
    </row>
    <row r="102" spans="1:14" x14ac:dyDescent="0.25">
      <c r="A102" s="143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5"/>
    </row>
    <row r="103" spans="1:14" ht="18.75" x14ac:dyDescent="0.25">
      <c r="A103" s="146" t="s">
        <v>311</v>
      </c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8"/>
    </row>
    <row r="104" spans="1:14" x14ac:dyDescent="0.25">
      <c r="A104" s="149" t="s">
        <v>292</v>
      </c>
      <c r="B104" s="150" t="s">
        <v>293</v>
      </c>
      <c r="C104" s="151" t="s">
        <v>312</v>
      </c>
      <c r="D104" s="152"/>
      <c r="E104" s="152"/>
      <c r="F104" s="153"/>
      <c r="G104" s="151" t="s">
        <v>313</v>
      </c>
      <c r="H104" s="152"/>
      <c r="I104" s="152"/>
      <c r="J104" s="153"/>
      <c r="K104" s="30"/>
      <c r="L104" s="30"/>
      <c r="M104" s="30"/>
      <c r="N104" s="10"/>
    </row>
    <row r="105" spans="1:14" x14ac:dyDescent="0.25">
      <c r="A105" s="149"/>
      <c r="B105" s="150"/>
      <c r="C105" s="154"/>
      <c r="D105" s="155"/>
      <c r="E105" s="155"/>
      <c r="F105" s="156"/>
      <c r="G105" s="154"/>
      <c r="H105" s="155"/>
      <c r="I105" s="155"/>
      <c r="J105" s="156"/>
      <c r="K105" s="30"/>
      <c r="L105" s="30"/>
      <c r="M105" s="30"/>
      <c r="N105" s="10"/>
    </row>
    <row r="106" spans="1:14" ht="15.75" thickBot="1" x14ac:dyDescent="0.3">
      <c r="A106" s="17"/>
      <c r="B106" s="18"/>
      <c r="C106" s="142"/>
      <c r="D106" s="142"/>
      <c r="E106" s="142"/>
      <c r="F106" s="142"/>
      <c r="G106" s="142"/>
      <c r="H106" s="142"/>
      <c r="I106" s="142"/>
      <c r="J106" s="142"/>
      <c r="K106" s="19"/>
      <c r="L106" s="19"/>
      <c r="M106" s="19"/>
      <c r="N106" s="20"/>
    </row>
    <row r="107" spans="1:14" ht="16.5" thickTop="1" thickBot="1" x14ac:dyDescent="0.3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</row>
    <row r="108" spans="1:14" ht="19.5" thickTop="1" x14ac:dyDescent="0.25">
      <c r="A108" s="160" t="s">
        <v>322</v>
      </c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2"/>
    </row>
    <row r="109" spans="1:14" x14ac:dyDescent="0.25">
      <c r="A109" s="143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5"/>
    </row>
    <row r="110" spans="1:14" ht="18.75" x14ac:dyDescent="0.25">
      <c r="A110" s="146" t="s">
        <v>291</v>
      </c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8"/>
    </row>
    <row r="111" spans="1:14" x14ac:dyDescent="0.25">
      <c r="A111" s="149" t="s">
        <v>292</v>
      </c>
      <c r="B111" s="150" t="s">
        <v>293</v>
      </c>
      <c r="C111" s="157" t="s">
        <v>294</v>
      </c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9"/>
    </row>
    <row r="112" spans="1:14" x14ac:dyDescent="0.25">
      <c r="A112" s="149"/>
      <c r="B112" s="150"/>
      <c r="C112" s="30" t="s">
        <v>295</v>
      </c>
      <c r="D112" s="30" t="s">
        <v>296</v>
      </c>
      <c r="E112" s="30" t="s">
        <v>297</v>
      </c>
      <c r="F112" s="30" t="s">
        <v>298</v>
      </c>
      <c r="G112" s="30" t="s">
        <v>299</v>
      </c>
      <c r="H112" s="30" t="s">
        <v>300</v>
      </c>
      <c r="I112" s="30" t="s">
        <v>301</v>
      </c>
      <c r="J112" s="30" t="s">
        <v>302</v>
      </c>
      <c r="K112" s="30" t="s">
        <v>303</v>
      </c>
      <c r="L112" s="30" t="s">
        <v>304</v>
      </c>
      <c r="M112" s="30" t="s">
        <v>305</v>
      </c>
      <c r="N112" s="10" t="s">
        <v>306</v>
      </c>
    </row>
    <row r="113" spans="1:14" x14ac:dyDescent="0.25">
      <c r="A113" s="11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12"/>
    </row>
    <row r="114" spans="1:14" x14ac:dyDescent="0.25">
      <c r="A114" s="143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5"/>
    </row>
    <row r="115" spans="1:14" x14ac:dyDescent="0.25">
      <c r="A115" s="149" t="s">
        <v>292</v>
      </c>
      <c r="B115" s="150" t="s">
        <v>293</v>
      </c>
      <c r="C115" s="157" t="s">
        <v>308</v>
      </c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9"/>
    </row>
    <row r="116" spans="1:14" x14ac:dyDescent="0.25">
      <c r="A116" s="149"/>
      <c r="B116" s="150"/>
      <c r="C116" s="30" t="s">
        <v>295</v>
      </c>
      <c r="D116" s="30" t="s">
        <v>296</v>
      </c>
      <c r="E116" s="30" t="s">
        <v>297</v>
      </c>
      <c r="F116" s="30" t="s">
        <v>298</v>
      </c>
      <c r="G116" s="30" t="s">
        <v>299</v>
      </c>
      <c r="H116" s="30" t="s">
        <v>300</v>
      </c>
      <c r="I116" s="30" t="s">
        <v>301</v>
      </c>
      <c r="J116" s="30" t="s">
        <v>302</v>
      </c>
      <c r="K116" s="30" t="s">
        <v>303</v>
      </c>
      <c r="L116" s="30" t="s">
        <v>304</v>
      </c>
      <c r="M116" s="30" t="s">
        <v>305</v>
      </c>
      <c r="N116" s="10" t="s">
        <v>306</v>
      </c>
    </row>
    <row r="117" spans="1:14" x14ac:dyDescent="0.25">
      <c r="A117" s="11">
        <v>61787000</v>
      </c>
      <c r="B117" s="5" t="s">
        <v>323</v>
      </c>
      <c r="C117" s="29">
        <v>5.55</v>
      </c>
      <c r="D117" s="29">
        <v>5.86</v>
      </c>
      <c r="E117" s="29">
        <v>5.45</v>
      </c>
      <c r="F117" s="29">
        <v>4.8</v>
      </c>
      <c r="G117" s="29">
        <v>4.03</v>
      </c>
      <c r="H117" s="29">
        <v>3.83</v>
      </c>
      <c r="I117" s="29">
        <v>4.32</v>
      </c>
      <c r="J117" s="29">
        <v>5.35</v>
      </c>
      <c r="K117" s="29">
        <v>5.9</v>
      </c>
      <c r="L117" s="29">
        <v>6.39</v>
      </c>
      <c r="M117" s="29">
        <v>6.3</v>
      </c>
      <c r="N117" s="36">
        <v>5.35</v>
      </c>
    </row>
    <row r="118" spans="1:14" x14ac:dyDescent="0.25">
      <c r="A118" s="143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5"/>
    </row>
    <row r="119" spans="1:14" ht="18.75" x14ac:dyDescent="0.25">
      <c r="A119" s="146" t="s">
        <v>309</v>
      </c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8"/>
    </row>
    <row r="120" spans="1:14" x14ac:dyDescent="0.25">
      <c r="A120" s="149" t="s">
        <v>292</v>
      </c>
      <c r="B120" s="150" t="s">
        <v>293</v>
      </c>
      <c r="C120" s="150" t="s">
        <v>1</v>
      </c>
      <c r="D120" s="150" t="s">
        <v>2</v>
      </c>
      <c r="E120" s="150" t="s">
        <v>310</v>
      </c>
      <c r="F120" s="150"/>
      <c r="G120" s="150"/>
      <c r="H120" s="150"/>
      <c r="I120" s="30"/>
      <c r="J120" s="30"/>
      <c r="K120" s="30"/>
      <c r="L120" s="30"/>
      <c r="M120" s="30"/>
      <c r="N120" s="10"/>
    </row>
    <row r="121" spans="1:14" x14ac:dyDescent="0.25">
      <c r="A121" s="149"/>
      <c r="B121" s="150"/>
      <c r="C121" s="150"/>
      <c r="D121" s="150"/>
      <c r="E121" s="30" t="s">
        <v>292</v>
      </c>
      <c r="F121" s="30" t="s">
        <v>293</v>
      </c>
      <c r="G121" s="30" t="s">
        <v>1</v>
      </c>
      <c r="H121" s="30" t="s">
        <v>2</v>
      </c>
      <c r="I121" s="30"/>
      <c r="J121" s="30"/>
      <c r="K121" s="30"/>
      <c r="L121" s="30"/>
      <c r="M121" s="30"/>
      <c r="N121" s="10"/>
    </row>
    <row r="122" spans="1:14" x14ac:dyDescent="0.25">
      <c r="A122" s="15" t="s">
        <v>11</v>
      </c>
      <c r="B122" s="5" t="s">
        <v>12</v>
      </c>
      <c r="C122" s="35">
        <v>-20.25</v>
      </c>
      <c r="D122" s="35">
        <v>-48.16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16"/>
    </row>
    <row r="123" spans="1:14" x14ac:dyDescent="0.25">
      <c r="A123" s="143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5"/>
    </row>
    <row r="124" spans="1:14" ht="20.100000000000001" customHeight="1" x14ac:dyDescent="0.25">
      <c r="A124" s="146" t="s">
        <v>311</v>
      </c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8"/>
    </row>
    <row r="125" spans="1:14" ht="20.100000000000001" customHeight="1" x14ac:dyDescent="0.25">
      <c r="A125" s="149" t="s">
        <v>292</v>
      </c>
      <c r="B125" s="150" t="s">
        <v>293</v>
      </c>
      <c r="C125" s="151" t="s">
        <v>312</v>
      </c>
      <c r="D125" s="152"/>
      <c r="E125" s="152"/>
      <c r="F125" s="153"/>
      <c r="G125" s="151" t="s">
        <v>313</v>
      </c>
      <c r="H125" s="152"/>
      <c r="I125" s="152"/>
      <c r="J125" s="153"/>
      <c r="K125" s="30"/>
      <c r="L125" s="30"/>
      <c r="M125" s="30"/>
      <c r="N125" s="10"/>
    </row>
    <row r="126" spans="1:14" ht="20.100000000000001" customHeight="1" x14ac:dyDescent="0.25">
      <c r="A126" s="149"/>
      <c r="B126" s="150"/>
      <c r="C126" s="154"/>
      <c r="D126" s="155"/>
      <c r="E126" s="155"/>
      <c r="F126" s="156"/>
      <c r="G126" s="154"/>
      <c r="H126" s="155"/>
      <c r="I126" s="155"/>
      <c r="J126" s="156"/>
      <c r="K126" s="30"/>
      <c r="L126" s="30"/>
      <c r="M126" s="30"/>
      <c r="N126" s="10"/>
    </row>
    <row r="127" spans="1:14" ht="20.100000000000001" customHeight="1" thickBot="1" x14ac:dyDescent="0.3">
      <c r="A127" s="17"/>
      <c r="B127" s="18"/>
      <c r="C127" s="142"/>
      <c r="D127" s="142"/>
      <c r="E127" s="142"/>
      <c r="F127" s="142"/>
      <c r="G127" s="142"/>
      <c r="H127" s="142"/>
      <c r="I127" s="142"/>
      <c r="J127" s="142"/>
      <c r="K127" s="19"/>
      <c r="L127" s="19"/>
      <c r="M127" s="19"/>
      <c r="N127" s="20"/>
    </row>
    <row r="128" spans="1:14" ht="20.100000000000001" customHeight="1" thickTop="1" thickBot="1" x14ac:dyDescent="0.3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</row>
    <row r="129" spans="1:14" ht="20.100000000000001" customHeight="1" thickTop="1" x14ac:dyDescent="0.25">
      <c r="A129" s="160" t="s">
        <v>324</v>
      </c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2"/>
    </row>
    <row r="130" spans="1:14" ht="20.100000000000001" customHeight="1" x14ac:dyDescent="0.25">
      <c r="A130" s="143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5"/>
    </row>
    <row r="131" spans="1:14" ht="20.100000000000001" customHeight="1" x14ac:dyDescent="0.25">
      <c r="A131" s="146" t="s">
        <v>291</v>
      </c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8"/>
    </row>
    <row r="132" spans="1:14" ht="20.100000000000001" customHeight="1" x14ac:dyDescent="0.25">
      <c r="A132" s="149" t="s">
        <v>292</v>
      </c>
      <c r="B132" s="150" t="s">
        <v>293</v>
      </c>
      <c r="C132" s="157" t="s">
        <v>294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9"/>
    </row>
    <row r="133" spans="1:14" ht="20.100000000000001" customHeight="1" x14ac:dyDescent="0.25">
      <c r="A133" s="149"/>
      <c r="B133" s="150"/>
      <c r="C133" s="30" t="s">
        <v>295</v>
      </c>
      <c r="D133" s="30" t="s">
        <v>296</v>
      </c>
      <c r="E133" s="30" t="s">
        <v>297</v>
      </c>
      <c r="F133" s="30" t="s">
        <v>298</v>
      </c>
      <c r="G133" s="30" t="s">
        <v>299</v>
      </c>
      <c r="H133" s="30" t="s">
        <v>300</v>
      </c>
      <c r="I133" s="30" t="s">
        <v>301</v>
      </c>
      <c r="J133" s="30" t="s">
        <v>302</v>
      </c>
      <c r="K133" s="30" t="s">
        <v>303</v>
      </c>
      <c r="L133" s="30" t="s">
        <v>304</v>
      </c>
      <c r="M133" s="30" t="s">
        <v>305</v>
      </c>
      <c r="N133" s="10" t="s">
        <v>306</v>
      </c>
    </row>
    <row r="134" spans="1:14" ht="15" customHeight="1" x14ac:dyDescent="0.25">
      <c r="A134" s="11">
        <v>7</v>
      </c>
      <c r="B134" s="5" t="s">
        <v>325</v>
      </c>
      <c r="C134" s="6">
        <v>0.377</v>
      </c>
      <c r="D134" s="6">
        <v>0.377</v>
      </c>
      <c r="E134" s="6">
        <v>0.377</v>
      </c>
      <c r="F134" s="6">
        <v>0.377</v>
      </c>
      <c r="G134" s="6">
        <v>0.377</v>
      </c>
      <c r="H134" s="6">
        <v>0.377</v>
      </c>
      <c r="I134" s="6">
        <v>0.377</v>
      </c>
      <c r="J134" s="6">
        <v>0.377</v>
      </c>
      <c r="K134" s="6">
        <v>0.377</v>
      </c>
      <c r="L134" s="6">
        <v>0.377</v>
      </c>
      <c r="M134" s="6">
        <v>0.377</v>
      </c>
      <c r="N134" s="12">
        <v>0.377</v>
      </c>
    </row>
    <row r="135" spans="1:14" ht="15" customHeight="1" x14ac:dyDescent="0.25">
      <c r="A135" s="13">
        <v>8</v>
      </c>
      <c r="B135" s="3" t="s">
        <v>326</v>
      </c>
      <c r="C135" s="7">
        <v>8.6999999999999994E-2</v>
      </c>
      <c r="D135" s="7">
        <v>8.6999999999999994E-2</v>
      </c>
      <c r="E135" s="7">
        <v>8.6999999999999994E-2</v>
      </c>
      <c r="F135" s="7">
        <v>8.6999999999999994E-2</v>
      </c>
      <c r="G135" s="7">
        <v>8.6999999999999994E-2</v>
      </c>
      <c r="H135" s="7">
        <v>8.6999999999999994E-2</v>
      </c>
      <c r="I135" s="7">
        <v>8.6999999999999994E-2</v>
      </c>
      <c r="J135" s="7">
        <v>8.6999999999999994E-2</v>
      </c>
      <c r="K135" s="7">
        <v>8.6999999999999994E-2</v>
      </c>
      <c r="L135" s="7">
        <v>8.6999999999999994E-2</v>
      </c>
      <c r="M135" s="7">
        <v>8.6999999999999994E-2</v>
      </c>
      <c r="N135" s="14">
        <v>8.6999999999999994E-2</v>
      </c>
    </row>
    <row r="136" spans="1:14" ht="15" customHeight="1" x14ac:dyDescent="0.25">
      <c r="A136" s="11">
        <v>9</v>
      </c>
      <c r="B136" s="5" t="s">
        <v>327</v>
      </c>
      <c r="C136" s="6">
        <v>3.5999999999999997E-2</v>
      </c>
      <c r="D136" s="6">
        <v>3.5999999999999997E-2</v>
      </c>
      <c r="E136" s="6">
        <v>3.5999999999999997E-2</v>
      </c>
      <c r="F136" s="6">
        <v>3.5999999999999997E-2</v>
      </c>
      <c r="G136" s="6">
        <v>3.5999999999999997E-2</v>
      </c>
      <c r="H136" s="6">
        <v>3.5999999999999997E-2</v>
      </c>
      <c r="I136" s="6">
        <v>3.5999999999999997E-2</v>
      </c>
      <c r="J136" s="6">
        <v>3.5999999999999997E-2</v>
      </c>
      <c r="K136" s="6">
        <v>3.5999999999999997E-2</v>
      </c>
      <c r="L136" s="6">
        <v>3.5999999999999997E-2</v>
      </c>
      <c r="M136" s="6">
        <v>3.5999999999999997E-2</v>
      </c>
      <c r="N136" s="12">
        <v>3.5999999999999997E-2</v>
      </c>
    </row>
    <row r="137" spans="1:14" x14ac:dyDescent="0.25">
      <c r="A137" s="13">
        <v>10</v>
      </c>
      <c r="B137" s="3" t="s">
        <v>328</v>
      </c>
      <c r="C137" s="7">
        <v>0.10299999999999999</v>
      </c>
      <c r="D137" s="7">
        <v>0.10299999999999999</v>
      </c>
      <c r="E137" s="7">
        <v>0.10299999999999999</v>
      </c>
      <c r="F137" s="7">
        <v>0.10299999999999999</v>
      </c>
      <c r="G137" s="7">
        <v>0.10299999999999999</v>
      </c>
      <c r="H137" s="7">
        <v>0.10299999999999999</v>
      </c>
      <c r="I137" s="7">
        <v>0.10299999999999999</v>
      </c>
      <c r="J137" s="7">
        <v>0.10299999999999999</v>
      </c>
      <c r="K137" s="7">
        <v>0.10299999999999999</v>
      </c>
      <c r="L137" s="7">
        <v>0.10299999999999999</v>
      </c>
      <c r="M137" s="7">
        <v>0.10299999999999999</v>
      </c>
      <c r="N137" s="14">
        <v>0.10299999999999999</v>
      </c>
    </row>
    <row r="138" spans="1:14" s="4" customFormat="1" x14ac:dyDescent="0.25">
      <c r="A138" s="24">
        <v>11</v>
      </c>
      <c r="B138" s="2" t="s">
        <v>329</v>
      </c>
      <c r="C138" s="8">
        <v>0.23</v>
      </c>
      <c r="D138" s="8">
        <v>0.23</v>
      </c>
      <c r="E138" s="8">
        <v>0.23</v>
      </c>
      <c r="F138" s="8">
        <v>0.23</v>
      </c>
      <c r="G138" s="8">
        <v>0.23</v>
      </c>
      <c r="H138" s="8">
        <v>0.23</v>
      </c>
      <c r="I138" s="8">
        <v>0.23</v>
      </c>
      <c r="J138" s="8">
        <v>0.23</v>
      </c>
      <c r="K138" s="8">
        <v>0.23</v>
      </c>
      <c r="L138" s="8">
        <v>0.23</v>
      </c>
      <c r="M138" s="8">
        <v>0.23</v>
      </c>
      <c r="N138" s="25">
        <v>0.23</v>
      </c>
    </row>
    <row r="139" spans="1:14" x14ac:dyDescent="0.25">
      <c r="A139" s="13">
        <v>12</v>
      </c>
      <c r="B139" s="3" t="s">
        <v>330</v>
      </c>
      <c r="C139" s="7">
        <v>0.16700000000000001</v>
      </c>
      <c r="D139" s="7">
        <v>0.16700000000000001</v>
      </c>
      <c r="E139" s="7">
        <v>0.16700000000000001</v>
      </c>
      <c r="F139" s="7">
        <v>0.16700000000000001</v>
      </c>
      <c r="G139" s="7">
        <v>0.16700000000000001</v>
      </c>
      <c r="H139" s="7">
        <v>0.16700000000000001</v>
      </c>
      <c r="I139" s="7">
        <v>0.16700000000000001</v>
      </c>
      <c r="J139" s="7">
        <v>0.16700000000000001</v>
      </c>
      <c r="K139" s="7">
        <v>0.16700000000000001</v>
      </c>
      <c r="L139" s="7">
        <v>0.16700000000000001</v>
      </c>
      <c r="M139" s="7">
        <v>0.16700000000000001</v>
      </c>
      <c r="N139" s="14">
        <v>0.16700000000000001</v>
      </c>
    </row>
    <row r="140" spans="1:14" x14ac:dyDescent="0.25">
      <c r="A140" s="143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5"/>
    </row>
    <row r="141" spans="1:14" ht="20.100000000000001" customHeight="1" x14ac:dyDescent="0.25">
      <c r="A141" s="149" t="s">
        <v>292</v>
      </c>
      <c r="B141" s="150" t="s">
        <v>293</v>
      </c>
      <c r="C141" s="157" t="s">
        <v>308</v>
      </c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9"/>
    </row>
    <row r="142" spans="1:14" x14ac:dyDescent="0.25">
      <c r="A142" s="149"/>
      <c r="B142" s="150"/>
      <c r="C142" s="30" t="s">
        <v>295</v>
      </c>
      <c r="D142" s="30" t="s">
        <v>296</v>
      </c>
      <c r="E142" s="30" t="s">
        <v>297</v>
      </c>
      <c r="F142" s="30" t="s">
        <v>298</v>
      </c>
      <c r="G142" s="30" t="s">
        <v>299</v>
      </c>
      <c r="H142" s="30" t="s">
        <v>300</v>
      </c>
      <c r="I142" s="30" t="s">
        <v>301</v>
      </c>
      <c r="J142" s="30" t="s">
        <v>302</v>
      </c>
      <c r="K142" s="30" t="s">
        <v>303</v>
      </c>
      <c r="L142" s="30" t="s">
        <v>304</v>
      </c>
      <c r="M142" s="30" t="s">
        <v>305</v>
      </c>
      <c r="N142" s="10" t="s">
        <v>306</v>
      </c>
    </row>
    <row r="143" spans="1:14" x14ac:dyDescent="0.25">
      <c r="A143" s="11">
        <v>12</v>
      </c>
      <c r="B143" s="5" t="s">
        <v>330</v>
      </c>
      <c r="C143" s="29">
        <v>5.55</v>
      </c>
      <c r="D143" s="29">
        <v>5.86</v>
      </c>
      <c r="E143" s="29">
        <v>5.45</v>
      </c>
      <c r="F143" s="29">
        <v>4.8</v>
      </c>
      <c r="G143" s="29">
        <v>4.03</v>
      </c>
      <c r="H143" s="29">
        <v>3.83</v>
      </c>
      <c r="I143" s="29">
        <v>4.32</v>
      </c>
      <c r="J143" s="29">
        <v>5.35</v>
      </c>
      <c r="K143" s="29">
        <v>5.9</v>
      </c>
      <c r="L143" s="29">
        <v>6.39</v>
      </c>
      <c r="M143" s="29">
        <v>6.3</v>
      </c>
      <c r="N143" s="36">
        <v>5.35</v>
      </c>
    </row>
    <row r="144" spans="1:14" x14ac:dyDescent="0.25">
      <c r="A144" s="143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5"/>
    </row>
    <row r="145" spans="1:14" ht="18.75" x14ac:dyDescent="0.25">
      <c r="A145" s="146" t="s">
        <v>309</v>
      </c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8"/>
    </row>
    <row r="146" spans="1:14" x14ac:dyDescent="0.25">
      <c r="A146" s="149" t="s">
        <v>292</v>
      </c>
      <c r="B146" s="150" t="s">
        <v>293</v>
      </c>
      <c r="C146" s="150" t="s">
        <v>1</v>
      </c>
      <c r="D146" s="150" t="s">
        <v>2</v>
      </c>
      <c r="E146" s="150" t="s">
        <v>310</v>
      </c>
      <c r="F146" s="150"/>
      <c r="G146" s="150"/>
      <c r="H146" s="150"/>
      <c r="I146" s="30"/>
      <c r="J146" s="30"/>
      <c r="K146" s="30"/>
      <c r="L146" s="30"/>
      <c r="M146" s="30"/>
      <c r="N146" s="10"/>
    </row>
    <row r="147" spans="1:14" x14ac:dyDescent="0.25">
      <c r="A147" s="149"/>
      <c r="B147" s="150"/>
      <c r="C147" s="150"/>
      <c r="D147" s="150"/>
      <c r="E147" s="30" t="s">
        <v>292</v>
      </c>
      <c r="F147" s="30" t="s">
        <v>293</v>
      </c>
      <c r="G147" s="30" t="s">
        <v>1</v>
      </c>
      <c r="H147" s="30" t="s">
        <v>2</v>
      </c>
      <c r="I147" s="30"/>
      <c r="J147" s="30"/>
      <c r="K147" s="30"/>
      <c r="L147" s="30"/>
      <c r="M147" s="30"/>
      <c r="N147" s="10"/>
    </row>
    <row r="148" spans="1:14" x14ac:dyDescent="0.25">
      <c r="A148" s="15" t="s">
        <v>27</v>
      </c>
      <c r="B148" s="5" t="s">
        <v>28</v>
      </c>
      <c r="C148" s="35">
        <v>-20</v>
      </c>
      <c r="D148" s="35">
        <v>-48.55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16"/>
    </row>
    <row r="149" spans="1:14" x14ac:dyDescent="0.25">
      <c r="A149" s="143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5"/>
    </row>
    <row r="150" spans="1:14" ht="18.75" x14ac:dyDescent="0.25">
      <c r="A150" s="146" t="s">
        <v>311</v>
      </c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8"/>
    </row>
    <row r="151" spans="1:14" x14ac:dyDescent="0.25">
      <c r="A151" s="149" t="s">
        <v>292</v>
      </c>
      <c r="B151" s="150" t="s">
        <v>293</v>
      </c>
      <c r="C151" s="151" t="s">
        <v>312</v>
      </c>
      <c r="D151" s="152"/>
      <c r="E151" s="152"/>
      <c r="F151" s="153"/>
      <c r="G151" s="151" t="s">
        <v>313</v>
      </c>
      <c r="H151" s="152"/>
      <c r="I151" s="152"/>
      <c r="J151" s="153"/>
      <c r="K151" s="30"/>
      <c r="L151" s="30"/>
      <c r="M151" s="30"/>
      <c r="N151" s="10"/>
    </row>
    <row r="152" spans="1:14" x14ac:dyDescent="0.25">
      <c r="A152" s="149"/>
      <c r="B152" s="150"/>
      <c r="C152" s="154"/>
      <c r="D152" s="155"/>
      <c r="E152" s="155"/>
      <c r="F152" s="156"/>
      <c r="G152" s="154"/>
      <c r="H152" s="155"/>
      <c r="I152" s="155"/>
      <c r="J152" s="156"/>
      <c r="K152" s="30"/>
      <c r="L152" s="30"/>
      <c r="M152" s="30"/>
      <c r="N152" s="10"/>
    </row>
    <row r="153" spans="1:14" ht="15.75" thickBot="1" x14ac:dyDescent="0.3">
      <c r="A153" s="17">
        <v>61796080</v>
      </c>
      <c r="B153" s="18" t="s">
        <v>331</v>
      </c>
      <c r="C153" s="142" t="s">
        <v>332</v>
      </c>
      <c r="D153" s="142"/>
      <c r="E153" s="142"/>
      <c r="F153" s="142"/>
      <c r="G153" s="142">
        <v>8</v>
      </c>
      <c r="H153" s="142"/>
      <c r="I153" s="142"/>
      <c r="J153" s="142"/>
      <c r="K153" s="19"/>
      <c r="L153" s="19"/>
      <c r="M153" s="19"/>
      <c r="N153" s="20"/>
    </row>
    <row r="154" spans="1:14" ht="16.5" thickTop="1" thickBot="1" x14ac:dyDescent="0.3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</row>
    <row r="155" spans="1:14" ht="19.5" thickTop="1" x14ac:dyDescent="0.25">
      <c r="A155" s="160" t="s">
        <v>333</v>
      </c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2"/>
    </row>
    <row r="156" spans="1:14" x14ac:dyDescent="0.25">
      <c r="A156" s="143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5"/>
    </row>
    <row r="157" spans="1:14" ht="18.75" x14ac:dyDescent="0.25">
      <c r="A157" s="146" t="s">
        <v>291</v>
      </c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8"/>
    </row>
    <row r="158" spans="1:14" x14ac:dyDescent="0.25">
      <c r="A158" s="149" t="s">
        <v>292</v>
      </c>
      <c r="B158" s="150" t="s">
        <v>293</v>
      </c>
      <c r="C158" s="157" t="s">
        <v>294</v>
      </c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9"/>
    </row>
    <row r="159" spans="1:14" x14ac:dyDescent="0.25">
      <c r="A159" s="149"/>
      <c r="B159" s="150"/>
      <c r="C159" s="30" t="s">
        <v>295</v>
      </c>
      <c r="D159" s="30" t="s">
        <v>296</v>
      </c>
      <c r="E159" s="30" t="s">
        <v>297</v>
      </c>
      <c r="F159" s="30" t="s">
        <v>298</v>
      </c>
      <c r="G159" s="30" t="s">
        <v>299</v>
      </c>
      <c r="H159" s="30" t="s">
        <v>300</v>
      </c>
      <c r="I159" s="30" t="s">
        <v>301</v>
      </c>
      <c r="J159" s="30" t="s">
        <v>302</v>
      </c>
      <c r="K159" s="30" t="s">
        <v>303</v>
      </c>
      <c r="L159" s="30" t="s">
        <v>304</v>
      </c>
      <c r="M159" s="30" t="s">
        <v>305</v>
      </c>
      <c r="N159" s="10" t="s">
        <v>306</v>
      </c>
    </row>
    <row r="160" spans="1:14" x14ac:dyDescent="0.25">
      <c r="A160" s="11">
        <v>14</v>
      </c>
      <c r="B160" s="5" t="s">
        <v>334</v>
      </c>
      <c r="C160" s="6">
        <v>0.61</v>
      </c>
      <c r="D160" s="6">
        <v>0.61</v>
      </c>
      <c r="E160" s="6">
        <v>0.61</v>
      </c>
      <c r="F160" s="6">
        <v>0.61</v>
      </c>
      <c r="G160" s="6">
        <v>0.61</v>
      </c>
      <c r="H160" s="6">
        <v>0.61</v>
      </c>
      <c r="I160" s="6">
        <v>0.61</v>
      </c>
      <c r="J160" s="6">
        <v>0.61</v>
      </c>
      <c r="K160" s="6">
        <v>0.61</v>
      </c>
      <c r="L160" s="6">
        <v>0.61</v>
      </c>
      <c r="M160" s="6">
        <v>0.61</v>
      </c>
      <c r="N160" s="12">
        <v>0.61</v>
      </c>
    </row>
    <row r="161" spans="1:14" x14ac:dyDescent="0.25">
      <c r="A161" s="13">
        <v>15</v>
      </c>
      <c r="B161" s="3" t="s">
        <v>14</v>
      </c>
      <c r="C161" s="7">
        <v>0.39</v>
      </c>
      <c r="D161" s="7">
        <v>0.39</v>
      </c>
      <c r="E161" s="7">
        <v>0.39</v>
      </c>
      <c r="F161" s="7">
        <v>0.39</v>
      </c>
      <c r="G161" s="7">
        <v>0.39</v>
      </c>
      <c r="H161" s="7">
        <v>0.39</v>
      </c>
      <c r="I161" s="7">
        <v>0.39</v>
      </c>
      <c r="J161" s="7">
        <v>0.39</v>
      </c>
      <c r="K161" s="7">
        <v>0.39</v>
      </c>
      <c r="L161" s="7">
        <v>0.39</v>
      </c>
      <c r="M161" s="7">
        <v>0.39</v>
      </c>
      <c r="N161" s="14">
        <v>0.39</v>
      </c>
    </row>
    <row r="162" spans="1:14" x14ac:dyDescent="0.25">
      <c r="A162" s="143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5"/>
    </row>
    <row r="163" spans="1:14" x14ac:dyDescent="0.25">
      <c r="A163" s="149" t="s">
        <v>292</v>
      </c>
      <c r="B163" s="150" t="s">
        <v>293</v>
      </c>
      <c r="C163" s="157" t="s">
        <v>308</v>
      </c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9"/>
    </row>
    <row r="164" spans="1:14" x14ac:dyDescent="0.25">
      <c r="A164" s="149"/>
      <c r="B164" s="150"/>
      <c r="C164" s="30" t="s">
        <v>295</v>
      </c>
      <c r="D164" s="30" t="s">
        <v>296</v>
      </c>
      <c r="E164" s="30" t="s">
        <v>297</v>
      </c>
      <c r="F164" s="30" t="s">
        <v>298</v>
      </c>
      <c r="G164" s="30" t="s">
        <v>299</v>
      </c>
      <c r="H164" s="30" t="s">
        <v>300</v>
      </c>
      <c r="I164" s="30" t="s">
        <v>301</v>
      </c>
      <c r="J164" s="30" t="s">
        <v>302</v>
      </c>
      <c r="K164" s="30" t="s">
        <v>303</v>
      </c>
      <c r="L164" s="30" t="s">
        <v>304</v>
      </c>
      <c r="M164" s="30" t="s">
        <v>305</v>
      </c>
      <c r="N164" s="10" t="s">
        <v>306</v>
      </c>
    </row>
    <row r="165" spans="1:14" x14ac:dyDescent="0.25">
      <c r="A165" s="11">
        <v>15</v>
      </c>
      <c r="B165" s="5" t="s">
        <v>14</v>
      </c>
      <c r="C165" s="29">
        <v>4.9400000000000004</v>
      </c>
      <c r="D165" s="29">
        <v>5.1100000000000003</v>
      </c>
      <c r="E165" s="29">
        <v>4.9000000000000004</v>
      </c>
      <c r="F165" s="29">
        <v>4.2</v>
      </c>
      <c r="G165" s="29">
        <v>3.32</v>
      </c>
      <c r="H165" s="29">
        <v>2.97</v>
      </c>
      <c r="I165" s="29">
        <v>3.61</v>
      </c>
      <c r="J165" s="29">
        <v>4.71</v>
      </c>
      <c r="K165" s="29">
        <v>5.07</v>
      </c>
      <c r="L165" s="29">
        <v>5.48</v>
      </c>
      <c r="M165" s="29">
        <v>5.63</v>
      </c>
      <c r="N165" s="36">
        <v>4.8099999999999996</v>
      </c>
    </row>
    <row r="166" spans="1:14" x14ac:dyDescent="0.25">
      <c r="A166" s="143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5"/>
    </row>
    <row r="167" spans="1:14" ht="18.75" x14ac:dyDescent="0.25">
      <c r="A167" s="146" t="s">
        <v>309</v>
      </c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8"/>
    </row>
    <row r="168" spans="1:14" x14ac:dyDescent="0.25">
      <c r="A168" s="149" t="s">
        <v>292</v>
      </c>
      <c r="B168" s="150" t="s">
        <v>293</v>
      </c>
      <c r="C168" s="150" t="s">
        <v>1</v>
      </c>
      <c r="D168" s="150" t="s">
        <v>2</v>
      </c>
      <c r="E168" s="150" t="s">
        <v>310</v>
      </c>
      <c r="F168" s="150"/>
      <c r="G168" s="150"/>
      <c r="H168" s="150"/>
      <c r="I168" s="30"/>
      <c r="J168" s="30"/>
      <c r="K168" s="30"/>
      <c r="L168" s="30"/>
      <c r="M168" s="30"/>
      <c r="N168" s="10"/>
    </row>
    <row r="169" spans="1:14" x14ac:dyDescent="0.25">
      <c r="A169" s="149"/>
      <c r="B169" s="150"/>
      <c r="C169" s="150"/>
      <c r="D169" s="150"/>
      <c r="E169" s="30" t="s">
        <v>292</v>
      </c>
      <c r="F169" s="30" t="s">
        <v>293</v>
      </c>
      <c r="G169" s="30" t="s">
        <v>1</v>
      </c>
      <c r="H169" s="30" t="s">
        <v>2</v>
      </c>
      <c r="I169" s="30"/>
      <c r="J169" s="30"/>
      <c r="K169" s="30"/>
      <c r="L169" s="30"/>
      <c r="M169" s="30"/>
      <c r="N169" s="10"/>
    </row>
    <row r="170" spans="1:14" x14ac:dyDescent="0.25">
      <c r="A170" s="15" t="s">
        <v>13</v>
      </c>
      <c r="B170" s="5" t="s">
        <v>14</v>
      </c>
      <c r="C170" s="35">
        <v>-21.6</v>
      </c>
      <c r="D170" s="35">
        <v>-46.95</v>
      </c>
      <c r="E170" s="35"/>
      <c r="F170" s="26"/>
      <c r="G170" s="35"/>
      <c r="H170" s="35"/>
      <c r="I170" s="35"/>
      <c r="J170" s="35"/>
      <c r="K170" s="35"/>
      <c r="L170" s="35"/>
      <c r="M170" s="35"/>
      <c r="N170" s="16"/>
    </row>
    <row r="171" spans="1:14" x14ac:dyDescent="0.25">
      <c r="A171" s="143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5"/>
    </row>
    <row r="172" spans="1:14" ht="18.75" x14ac:dyDescent="0.25">
      <c r="A172" s="146" t="s">
        <v>311</v>
      </c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8"/>
    </row>
    <row r="173" spans="1:14" x14ac:dyDescent="0.25">
      <c r="A173" s="149" t="s">
        <v>292</v>
      </c>
      <c r="B173" s="150" t="s">
        <v>293</v>
      </c>
      <c r="C173" s="151" t="s">
        <v>312</v>
      </c>
      <c r="D173" s="152"/>
      <c r="E173" s="152"/>
      <c r="F173" s="153"/>
      <c r="G173" s="151" t="s">
        <v>313</v>
      </c>
      <c r="H173" s="152"/>
      <c r="I173" s="152"/>
      <c r="J173" s="153"/>
      <c r="K173" s="30"/>
      <c r="L173" s="30"/>
      <c r="M173" s="30"/>
      <c r="N173" s="10"/>
    </row>
    <row r="174" spans="1:14" x14ac:dyDescent="0.25">
      <c r="A174" s="149"/>
      <c r="B174" s="150"/>
      <c r="C174" s="154"/>
      <c r="D174" s="155"/>
      <c r="E174" s="155"/>
      <c r="F174" s="156"/>
      <c r="G174" s="154"/>
      <c r="H174" s="155"/>
      <c r="I174" s="155"/>
      <c r="J174" s="156"/>
      <c r="K174" s="30"/>
      <c r="L174" s="30"/>
      <c r="M174" s="30"/>
      <c r="N174" s="10"/>
    </row>
    <row r="175" spans="1:14" ht="15.75" thickBot="1" x14ac:dyDescent="0.3">
      <c r="A175" s="17"/>
      <c r="B175" s="18"/>
      <c r="C175" s="142"/>
      <c r="D175" s="142"/>
      <c r="E175" s="142"/>
      <c r="F175" s="142"/>
      <c r="G175" s="142"/>
      <c r="H175" s="142"/>
      <c r="I175" s="142"/>
      <c r="J175" s="142"/>
      <c r="K175" s="19"/>
      <c r="L175" s="19"/>
      <c r="M175" s="19"/>
      <c r="N175" s="20"/>
    </row>
    <row r="176" spans="1:14" ht="16.5" thickTop="1" thickBot="1" x14ac:dyDescent="0.3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</row>
    <row r="177" spans="1:14" ht="19.5" thickTop="1" x14ac:dyDescent="0.25">
      <c r="A177" s="160" t="s">
        <v>335</v>
      </c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2"/>
    </row>
    <row r="178" spans="1:14" x14ac:dyDescent="0.25">
      <c r="A178" s="143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5"/>
    </row>
    <row r="179" spans="1:14" ht="18.75" x14ac:dyDescent="0.25">
      <c r="A179" s="146" t="s">
        <v>291</v>
      </c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8"/>
    </row>
    <row r="180" spans="1:14" x14ac:dyDescent="0.25">
      <c r="A180" s="149" t="s">
        <v>292</v>
      </c>
      <c r="B180" s="150" t="s">
        <v>293</v>
      </c>
      <c r="C180" s="157" t="s">
        <v>294</v>
      </c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9"/>
    </row>
    <row r="181" spans="1:14" x14ac:dyDescent="0.25">
      <c r="A181" s="149"/>
      <c r="B181" s="150"/>
      <c r="C181" s="30" t="s">
        <v>295</v>
      </c>
      <c r="D181" s="30" t="s">
        <v>296</v>
      </c>
      <c r="E181" s="30" t="s">
        <v>297</v>
      </c>
      <c r="F181" s="30" t="s">
        <v>298</v>
      </c>
      <c r="G181" s="30" t="s">
        <v>299</v>
      </c>
      <c r="H181" s="30" t="s">
        <v>300</v>
      </c>
      <c r="I181" s="30" t="s">
        <v>301</v>
      </c>
      <c r="J181" s="30" t="s">
        <v>302</v>
      </c>
      <c r="K181" s="30" t="s">
        <v>303</v>
      </c>
      <c r="L181" s="30" t="s">
        <v>304</v>
      </c>
      <c r="M181" s="30" t="s">
        <v>305</v>
      </c>
      <c r="N181" s="10" t="s">
        <v>306</v>
      </c>
    </row>
    <row r="182" spans="1:14" x14ac:dyDescent="0.25">
      <c r="A182" s="11">
        <v>16</v>
      </c>
      <c r="B182" s="5" t="s">
        <v>336</v>
      </c>
      <c r="C182" s="6">
        <v>4.0000000000000001E-3</v>
      </c>
      <c r="D182" s="6">
        <v>4.0000000000000001E-3</v>
      </c>
      <c r="E182" s="6">
        <v>4.0000000000000001E-3</v>
      </c>
      <c r="F182" s="6">
        <v>4.0000000000000001E-3</v>
      </c>
      <c r="G182" s="6">
        <v>4.0000000000000001E-3</v>
      </c>
      <c r="H182" s="6">
        <v>4.0000000000000001E-3</v>
      </c>
      <c r="I182" s="6">
        <v>4.0000000000000001E-3</v>
      </c>
      <c r="J182" s="6">
        <v>4.0000000000000001E-3</v>
      </c>
      <c r="K182" s="6">
        <v>4.0000000000000001E-3</v>
      </c>
      <c r="L182" s="6">
        <v>4.0000000000000001E-3</v>
      </c>
      <c r="M182" s="6">
        <v>4.0000000000000001E-3</v>
      </c>
      <c r="N182" s="12">
        <v>4.0000000000000001E-3</v>
      </c>
    </row>
    <row r="183" spans="1:14" x14ac:dyDescent="0.25">
      <c r="A183" s="13">
        <v>17</v>
      </c>
      <c r="B183" s="3" t="s">
        <v>20</v>
      </c>
      <c r="C183" s="7">
        <v>0.996</v>
      </c>
      <c r="D183" s="7">
        <v>0.996</v>
      </c>
      <c r="E183" s="7">
        <v>0.996</v>
      </c>
      <c r="F183" s="7">
        <v>0.996</v>
      </c>
      <c r="G183" s="7">
        <v>0.996</v>
      </c>
      <c r="H183" s="7">
        <v>0.996</v>
      </c>
      <c r="I183" s="7">
        <v>0.996</v>
      </c>
      <c r="J183" s="7">
        <v>0.996</v>
      </c>
      <c r="K183" s="7">
        <v>0.996</v>
      </c>
      <c r="L183" s="7">
        <v>0.996</v>
      </c>
      <c r="M183" s="7">
        <v>0.996</v>
      </c>
      <c r="N183" s="14">
        <v>0.996</v>
      </c>
    </row>
    <row r="184" spans="1:14" x14ac:dyDescent="0.25">
      <c r="A184" s="143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5"/>
    </row>
    <row r="185" spans="1:14" x14ac:dyDescent="0.25">
      <c r="A185" s="149" t="s">
        <v>292</v>
      </c>
      <c r="B185" s="150" t="s">
        <v>293</v>
      </c>
      <c r="C185" s="157" t="s">
        <v>308</v>
      </c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9"/>
    </row>
    <row r="186" spans="1:14" x14ac:dyDescent="0.25">
      <c r="A186" s="149"/>
      <c r="B186" s="150"/>
      <c r="C186" s="30" t="s">
        <v>295</v>
      </c>
      <c r="D186" s="30" t="s">
        <v>296</v>
      </c>
      <c r="E186" s="30" t="s">
        <v>297</v>
      </c>
      <c r="F186" s="30" t="s">
        <v>298</v>
      </c>
      <c r="G186" s="30" t="s">
        <v>299</v>
      </c>
      <c r="H186" s="30" t="s">
        <v>300</v>
      </c>
      <c r="I186" s="30" t="s">
        <v>301</v>
      </c>
      <c r="J186" s="30" t="s">
        <v>302</v>
      </c>
      <c r="K186" s="30" t="s">
        <v>303</v>
      </c>
      <c r="L186" s="30" t="s">
        <v>304</v>
      </c>
      <c r="M186" s="30" t="s">
        <v>305</v>
      </c>
      <c r="N186" s="10" t="s">
        <v>306</v>
      </c>
    </row>
    <row r="187" spans="1:14" x14ac:dyDescent="0.25">
      <c r="A187" s="11">
        <v>17</v>
      </c>
      <c r="B187" s="5" t="s">
        <v>20</v>
      </c>
      <c r="C187" s="29">
        <v>5.68</v>
      </c>
      <c r="D187" s="29">
        <v>6</v>
      </c>
      <c r="E187" s="29">
        <v>5.55</v>
      </c>
      <c r="F187" s="29">
        <v>4.87</v>
      </c>
      <c r="G187" s="29">
        <v>4.0999999999999996</v>
      </c>
      <c r="H187" s="29">
        <v>3.9</v>
      </c>
      <c r="I187" s="29">
        <v>4.3899999999999997</v>
      </c>
      <c r="J187" s="29">
        <v>5.45</v>
      </c>
      <c r="K187" s="29">
        <v>5.93</v>
      </c>
      <c r="L187" s="29">
        <v>6.45</v>
      </c>
      <c r="M187" s="29">
        <v>6.43</v>
      </c>
      <c r="N187" s="36">
        <v>5.55</v>
      </c>
    </row>
    <row r="188" spans="1:14" x14ac:dyDescent="0.25">
      <c r="A188" s="143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5"/>
    </row>
    <row r="189" spans="1:14" ht="18.75" x14ac:dyDescent="0.25">
      <c r="A189" s="146" t="s">
        <v>309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8"/>
    </row>
    <row r="190" spans="1:14" x14ac:dyDescent="0.25">
      <c r="A190" s="149" t="s">
        <v>292</v>
      </c>
      <c r="B190" s="150" t="s">
        <v>293</v>
      </c>
      <c r="C190" s="150" t="s">
        <v>1</v>
      </c>
      <c r="D190" s="150" t="s">
        <v>2</v>
      </c>
      <c r="E190" s="150" t="s">
        <v>310</v>
      </c>
      <c r="F190" s="150"/>
      <c r="G190" s="150"/>
      <c r="H190" s="150"/>
      <c r="I190" s="30"/>
      <c r="J190" s="30"/>
      <c r="K190" s="30"/>
      <c r="L190" s="30"/>
      <c r="M190" s="30"/>
      <c r="N190" s="10"/>
    </row>
    <row r="191" spans="1:14" x14ac:dyDescent="0.25">
      <c r="A191" s="149"/>
      <c r="B191" s="150"/>
      <c r="C191" s="150"/>
      <c r="D191" s="150"/>
      <c r="E191" s="30" t="s">
        <v>292</v>
      </c>
      <c r="F191" s="30" t="s">
        <v>293</v>
      </c>
      <c r="G191" s="30" t="s">
        <v>1</v>
      </c>
      <c r="H191" s="30" t="s">
        <v>2</v>
      </c>
      <c r="I191" s="30"/>
      <c r="J191" s="30"/>
      <c r="K191" s="30"/>
      <c r="L191" s="30"/>
      <c r="M191" s="30"/>
      <c r="N191" s="10"/>
    </row>
    <row r="192" spans="1:14" x14ac:dyDescent="0.25">
      <c r="A192" s="15" t="s">
        <v>19</v>
      </c>
      <c r="B192" s="5" t="s">
        <v>20</v>
      </c>
      <c r="C192" s="35">
        <v>-20.3</v>
      </c>
      <c r="D192" s="35">
        <v>-49.18</v>
      </c>
      <c r="E192" s="35"/>
      <c r="F192" s="26"/>
      <c r="G192" s="35"/>
      <c r="H192" s="35"/>
      <c r="I192" s="35"/>
      <c r="J192" s="35"/>
      <c r="K192" s="35"/>
      <c r="L192" s="35"/>
      <c r="M192" s="35"/>
      <c r="N192" s="16"/>
    </row>
    <row r="193" spans="1:14" x14ac:dyDescent="0.25">
      <c r="A193" s="143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5"/>
    </row>
    <row r="194" spans="1:14" ht="18.75" x14ac:dyDescent="0.25">
      <c r="A194" s="146" t="s">
        <v>311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8"/>
    </row>
    <row r="195" spans="1:14" x14ac:dyDescent="0.25">
      <c r="A195" s="149" t="s">
        <v>292</v>
      </c>
      <c r="B195" s="150" t="s">
        <v>293</v>
      </c>
      <c r="C195" s="151" t="s">
        <v>312</v>
      </c>
      <c r="D195" s="152"/>
      <c r="E195" s="152"/>
      <c r="F195" s="153"/>
      <c r="G195" s="151" t="s">
        <v>313</v>
      </c>
      <c r="H195" s="152"/>
      <c r="I195" s="152"/>
      <c r="J195" s="153"/>
      <c r="K195" s="30"/>
      <c r="L195" s="30"/>
      <c r="M195" s="30"/>
      <c r="N195" s="10"/>
    </row>
    <row r="196" spans="1:14" x14ac:dyDescent="0.25">
      <c r="A196" s="149"/>
      <c r="B196" s="150"/>
      <c r="C196" s="154"/>
      <c r="D196" s="155"/>
      <c r="E196" s="155"/>
      <c r="F196" s="156"/>
      <c r="G196" s="154"/>
      <c r="H196" s="155"/>
      <c r="I196" s="155"/>
      <c r="J196" s="156"/>
      <c r="K196" s="30"/>
      <c r="L196" s="30"/>
      <c r="M196" s="30"/>
      <c r="N196" s="10"/>
    </row>
    <row r="197" spans="1:14" ht="15.75" thickBot="1" x14ac:dyDescent="0.3">
      <c r="A197" s="17">
        <v>61941080</v>
      </c>
      <c r="B197" s="18" t="s">
        <v>24</v>
      </c>
      <c r="C197" s="142" t="s">
        <v>337</v>
      </c>
      <c r="D197" s="142"/>
      <c r="E197" s="142"/>
      <c r="F197" s="142"/>
      <c r="G197" s="142">
        <v>16</v>
      </c>
      <c r="H197" s="142"/>
      <c r="I197" s="142"/>
      <c r="J197" s="142"/>
      <c r="K197" s="19"/>
      <c r="L197" s="19"/>
      <c r="M197" s="19"/>
      <c r="N197" s="20"/>
    </row>
    <row r="198" spans="1:14" ht="16.5" thickTop="1" thickBot="1" x14ac:dyDescent="0.3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</row>
    <row r="199" spans="1:14" ht="19.5" thickTop="1" x14ac:dyDescent="0.25">
      <c r="A199" s="160" t="s">
        <v>338</v>
      </c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2"/>
    </row>
    <row r="200" spans="1:14" x14ac:dyDescent="0.25">
      <c r="A200" s="143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5"/>
    </row>
    <row r="201" spans="1:14" ht="18.75" x14ac:dyDescent="0.25">
      <c r="A201" s="146" t="s">
        <v>291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8"/>
    </row>
    <row r="202" spans="1:14" x14ac:dyDescent="0.25">
      <c r="A202" s="149" t="s">
        <v>292</v>
      </c>
      <c r="B202" s="150" t="s">
        <v>293</v>
      </c>
      <c r="C202" s="157" t="s">
        <v>294</v>
      </c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9"/>
    </row>
    <row r="203" spans="1:14" x14ac:dyDescent="0.25">
      <c r="A203" s="149"/>
      <c r="B203" s="150"/>
      <c r="C203" s="30" t="s">
        <v>295</v>
      </c>
      <c r="D203" s="30" t="s">
        <v>296</v>
      </c>
      <c r="E203" s="30" t="s">
        <v>297</v>
      </c>
      <c r="F203" s="30" t="s">
        <v>298</v>
      </c>
      <c r="G203" s="30" t="s">
        <v>299</v>
      </c>
      <c r="H203" s="30" t="s">
        <v>300</v>
      </c>
      <c r="I203" s="30" t="s">
        <v>301</v>
      </c>
      <c r="J203" s="30" t="s">
        <v>302</v>
      </c>
      <c r="K203" s="30" t="s">
        <v>303</v>
      </c>
      <c r="L203" s="30" t="s">
        <v>304</v>
      </c>
      <c r="M203" s="30" t="s">
        <v>305</v>
      </c>
      <c r="N203" s="10" t="s">
        <v>306</v>
      </c>
    </row>
    <row r="204" spans="1:14" x14ac:dyDescent="0.25">
      <c r="A204" s="11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12"/>
    </row>
    <row r="205" spans="1:14" x14ac:dyDescent="0.25">
      <c r="A205" s="143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5"/>
    </row>
    <row r="206" spans="1:14" x14ac:dyDescent="0.25">
      <c r="A206" s="149" t="s">
        <v>292</v>
      </c>
      <c r="B206" s="150" t="s">
        <v>293</v>
      </c>
      <c r="C206" s="157" t="s">
        <v>308</v>
      </c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9"/>
    </row>
    <row r="207" spans="1:14" x14ac:dyDescent="0.25">
      <c r="A207" s="149"/>
      <c r="B207" s="150"/>
      <c r="C207" s="30" t="s">
        <v>295</v>
      </c>
      <c r="D207" s="30" t="s">
        <v>296</v>
      </c>
      <c r="E207" s="30" t="s">
        <v>297</v>
      </c>
      <c r="F207" s="30" t="s">
        <v>298</v>
      </c>
      <c r="G207" s="30" t="s">
        <v>299</v>
      </c>
      <c r="H207" s="30" t="s">
        <v>300</v>
      </c>
      <c r="I207" s="30" t="s">
        <v>301</v>
      </c>
      <c r="J207" s="30" t="s">
        <v>302</v>
      </c>
      <c r="K207" s="30" t="s">
        <v>303</v>
      </c>
      <c r="L207" s="30" t="s">
        <v>304</v>
      </c>
      <c r="M207" s="30" t="s">
        <v>305</v>
      </c>
      <c r="N207" s="10" t="s">
        <v>306</v>
      </c>
    </row>
    <row r="208" spans="1:14" x14ac:dyDescent="0.25">
      <c r="A208" s="11">
        <v>61915000</v>
      </c>
      <c r="B208" s="5" t="s">
        <v>24</v>
      </c>
      <c r="C208" s="29">
        <v>4.9400000000000004</v>
      </c>
      <c r="D208" s="29">
        <v>5.1100000000000003</v>
      </c>
      <c r="E208" s="29">
        <v>4.9000000000000004</v>
      </c>
      <c r="F208" s="29">
        <v>4.2</v>
      </c>
      <c r="G208" s="29">
        <v>3.32</v>
      </c>
      <c r="H208" s="29">
        <v>2.97</v>
      </c>
      <c r="I208" s="29">
        <v>3.61</v>
      </c>
      <c r="J208" s="29">
        <v>4.71</v>
      </c>
      <c r="K208" s="29">
        <v>5.07</v>
      </c>
      <c r="L208" s="29">
        <v>5.48</v>
      </c>
      <c r="M208" s="29">
        <v>5.63</v>
      </c>
      <c r="N208" s="36">
        <v>4.8099999999999996</v>
      </c>
    </row>
    <row r="209" spans="1:14" x14ac:dyDescent="0.25">
      <c r="A209" s="143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5"/>
    </row>
    <row r="210" spans="1:14" ht="18.75" x14ac:dyDescent="0.25">
      <c r="A210" s="146" t="s">
        <v>309</v>
      </c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8"/>
    </row>
    <row r="211" spans="1:14" x14ac:dyDescent="0.25">
      <c r="A211" s="149" t="s">
        <v>292</v>
      </c>
      <c r="B211" s="150" t="s">
        <v>293</v>
      </c>
      <c r="C211" s="150" t="s">
        <v>1</v>
      </c>
      <c r="D211" s="150" t="s">
        <v>2</v>
      </c>
      <c r="E211" s="150" t="s">
        <v>310</v>
      </c>
      <c r="F211" s="150"/>
      <c r="G211" s="150"/>
      <c r="H211" s="150"/>
      <c r="I211" s="30"/>
      <c r="J211" s="30"/>
      <c r="K211" s="30"/>
      <c r="L211" s="30"/>
      <c r="M211" s="30"/>
      <c r="N211" s="10"/>
    </row>
    <row r="212" spans="1:14" x14ac:dyDescent="0.25">
      <c r="A212" s="149"/>
      <c r="B212" s="150"/>
      <c r="C212" s="150"/>
      <c r="D212" s="150"/>
      <c r="E212" s="30" t="s">
        <v>292</v>
      </c>
      <c r="F212" s="30" t="s">
        <v>293</v>
      </c>
      <c r="G212" s="30" t="s">
        <v>1</v>
      </c>
      <c r="H212" s="30" t="s">
        <v>2</v>
      </c>
      <c r="I212" s="30"/>
      <c r="J212" s="30"/>
      <c r="K212" s="30"/>
      <c r="L212" s="30"/>
      <c r="M212" s="30"/>
      <c r="N212" s="10"/>
    </row>
    <row r="213" spans="1:14" x14ac:dyDescent="0.25">
      <c r="A213" s="15" t="s">
        <v>23</v>
      </c>
      <c r="B213" s="5" t="s">
        <v>24</v>
      </c>
      <c r="C213" s="35">
        <v>-21.02</v>
      </c>
      <c r="D213" s="35">
        <v>-48.18</v>
      </c>
      <c r="E213" s="35"/>
      <c r="F213" s="26"/>
      <c r="G213" s="35"/>
      <c r="H213" s="35"/>
      <c r="I213" s="35"/>
      <c r="J213" s="35"/>
      <c r="K213" s="35"/>
      <c r="L213" s="35"/>
      <c r="M213" s="35"/>
      <c r="N213" s="16"/>
    </row>
    <row r="214" spans="1:14" x14ac:dyDescent="0.25">
      <c r="A214" s="143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5"/>
    </row>
    <row r="215" spans="1:14" ht="18.75" x14ac:dyDescent="0.25">
      <c r="A215" s="146" t="s">
        <v>311</v>
      </c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8"/>
    </row>
    <row r="216" spans="1:14" x14ac:dyDescent="0.25">
      <c r="A216" s="149" t="s">
        <v>292</v>
      </c>
      <c r="B216" s="150" t="s">
        <v>293</v>
      </c>
      <c r="C216" s="151" t="s">
        <v>312</v>
      </c>
      <c r="D216" s="152"/>
      <c r="E216" s="152"/>
      <c r="F216" s="153"/>
      <c r="G216" s="151" t="s">
        <v>313</v>
      </c>
      <c r="H216" s="152"/>
      <c r="I216" s="152"/>
      <c r="J216" s="153"/>
      <c r="K216" s="30"/>
      <c r="L216" s="30"/>
      <c r="M216" s="30"/>
      <c r="N216" s="10"/>
    </row>
    <row r="217" spans="1:14" x14ac:dyDescent="0.25">
      <c r="A217" s="149"/>
      <c r="B217" s="150"/>
      <c r="C217" s="154"/>
      <c r="D217" s="155"/>
      <c r="E217" s="155"/>
      <c r="F217" s="156"/>
      <c r="G217" s="154"/>
      <c r="H217" s="155"/>
      <c r="I217" s="155"/>
      <c r="J217" s="156"/>
      <c r="K217" s="30"/>
      <c r="L217" s="30"/>
      <c r="M217" s="30"/>
      <c r="N217" s="10"/>
    </row>
    <row r="218" spans="1:14" ht="15.75" thickBot="1" x14ac:dyDescent="0.3">
      <c r="A218" s="17"/>
      <c r="B218" s="18"/>
      <c r="C218" s="142"/>
      <c r="D218" s="142"/>
      <c r="E218" s="142"/>
      <c r="F218" s="142"/>
      <c r="G218" s="142"/>
      <c r="H218" s="142"/>
      <c r="I218" s="142"/>
      <c r="J218" s="142"/>
      <c r="K218" s="19"/>
      <c r="L218" s="19"/>
      <c r="M218" s="19"/>
      <c r="N218" s="20"/>
    </row>
    <row r="219" spans="1:14" ht="16.5" thickTop="1" thickBot="1" x14ac:dyDescent="0.3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</row>
    <row r="220" spans="1:14" ht="19.5" thickTop="1" x14ac:dyDescent="0.25">
      <c r="A220" s="160" t="s">
        <v>339</v>
      </c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2"/>
    </row>
    <row r="221" spans="1:14" x14ac:dyDescent="0.25">
      <c r="A221" s="143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5"/>
    </row>
    <row r="222" spans="1:14" ht="18.75" x14ac:dyDescent="0.25">
      <c r="A222" s="146" t="s">
        <v>291</v>
      </c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8"/>
    </row>
    <row r="223" spans="1:14" x14ac:dyDescent="0.25">
      <c r="A223" s="149" t="s">
        <v>292</v>
      </c>
      <c r="B223" s="150" t="s">
        <v>293</v>
      </c>
      <c r="C223" s="157" t="s">
        <v>294</v>
      </c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9"/>
    </row>
    <row r="224" spans="1:14" x14ac:dyDescent="0.25">
      <c r="A224" s="149"/>
      <c r="B224" s="150"/>
      <c r="C224" s="30" t="s">
        <v>295</v>
      </c>
      <c r="D224" s="30" t="s">
        <v>296</v>
      </c>
      <c r="E224" s="30" t="s">
        <v>297</v>
      </c>
      <c r="F224" s="30" t="s">
        <v>298</v>
      </c>
      <c r="G224" s="30" t="s">
        <v>299</v>
      </c>
      <c r="H224" s="30" t="s">
        <v>300</v>
      </c>
      <c r="I224" s="30" t="s">
        <v>301</v>
      </c>
      <c r="J224" s="30" t="s">
        <v>302</v>
      </c>
      <c r="K224" s="30" t="s">
        <v>303</v>
      </c>
      <c r="L224" s="30" t="s">
        <v>304</v>
      </c>
      <c r="M224" s="30" t="s">
        <v>305</v>
      </c>
      <c r="N224" s="10" t="s">
        <v>306</v>
      </c>
    </row>
    <row r="225" spans="1:14" x14ac:dyDescent="0.25">
      <c r="A225" s="11">
        <v>18</v>
      </c>
      <c r="B225" s="5" t="s">
        <v>8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12"/>
    </row>
    <row r="226" spans="1:14" x14ac:dyDescent="0.25">
      <c r="A226" s="143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5"/>
    </row>
    <row r="227" spans="1:14" x14ac:dyDescent="0.25">
      <c r="A227" s="149" t="s">
        <v>292</v>
      </c>
      <c r="B227" s="150" t="s">
        <v>293</v>
      </c>
      <c r="C227" s="157" t="s">
        <v>308</v>
      </c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9"/>
    </row>
    <row r="228" spans="1:14" x14ac:dyDescent="0.25">
      <c r="A228" s="149"/>
      <c r="B228" s="150"/>
      <c r="C228" s="30" t="s">
        <v>295</v>
      </c>
      <c r="D228" s="30" t="s">
        <v>296</v>
      </c>
      <c r="E228" s="30" t="s">
        <v>297</v>
      </c>
      <c r="F228" s="30" t="s">
        <v>298</v>
      </c>
      <c r="G228" s="30" t="s">
        <v>299</v>
      </c>
      <c r="H228" s="30" t="s">
        <v>300</v>
      </c>
      <c r="I228" s="30" t="s">
        <v>301</v>
      </c>
      <c r="J228" s="30" t="s">
        <v>302</v>
      </c>
      <c r="K228" s="30" t="s">
        <v>303</v>
      </c>
      <c r="L228" s="30" t="s">
        <v>304</v>
      </c>
      <c r="M228" s="30" t="s">
        <v>305</v>
      </c>
      <c r="N228" s="10" t="s">
        <v>306</v>
      </c>
    </row>
    <row r="229" spans="1:14" x14ac:dyDescent="0.25">
      <c r="A229" s="11">
        <v>18</v>
      </c>
      <c r="B229" s="5" t="s">
        <v>8</v>
      </c>
      <c r="C229" s="29">
        <v>5.65</v>
      </c>
      <c r="D229" s="29">
        <v>6.18</v>
      </c>
      <c r="E229" s="29">
        <v>5.61</v>
      </c>
      <c r="F229" s="29">
        <v>4.9000000000000004</v>
      </c>
      <c r="G229" s="29">
        <v>4.26</v>
      </c>
      <c r="H229" s="29">
        <v>4.03</v>
      </c>
      <c r="I229" s="29">
        <v>4.68</v>
      </c>
      <c r="J229" s="29">
        <v>5.71</v>
      </c>
      <c r="K229" s="29">
        <v>6.07</v>
      </c>
      <c r="L229" s="29">
        <v>6.61</v>
      </c>
      <c r="M229" s="29">
        <v>6.5</v>
      </c>
      <c r="N229" s="36">
        <v>5.61</v>
      </c>
    </row>
    <row r="230" spans="1:14" x14ac:dyDescent="0.25">
      <c r="A230" s="143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5"/>
    </row>
    <row r="231" spans="1:14" ht="18.75" x14ac:dyDescent="0.25">
      <c r="A231" s="146" t="s">
        <v>309</v>
      </c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8"/>
    </row>
    <row r="232" spans="1:14" x14ac:dyDescent="0.25">
      <c r="A232" s="149" t="s">
        <v>292</v>
      </c>
      <c r="B232" s="150" t="s">
        <v>293</v>
      </c>
      <c r="C232" s="150" t="s">
        <v>1</v>
      </c>
      <c r="D232" s="150" t="s">
        <v>2</v>
      </c>
      <c r="E232" s="150" t="s">
        <v>310</v>
      </c>
      <c r="F232" s="150"/>
      <c r="G232" s="150"/>
      <c r="H232" s="150"/>
      <c r="I232" s="30"/>
      <c r="J232" s="30"/>
      <c r="K232" s="30"/>
      <c r="L232" s="30"/>
      <c r="M232" s="30"/>
      <c r="N232" s="10"/>
    </row>
    <row r="233" spans="1:14" x14ac:dyDescent="0.25">
      <c r="A233" s="149"/>
      <c r="B233" s="150"/>
      <c r="C233" s="150"/>
      <c r="D233" s="150"/>
      <c r="E233" s="30" t="s">
        <v>292</v>
      </c>
      <c r="F233" s="30" t="s">
        <v>293</v>
      </c>
      <c r="G233" s="30" t="s">
        <v>1</v>
      </c>
      <c r="H233" s="30" t="s">
        <v>2</v>
      </c>
      <c r="I233" s="30"/>
      <c r="J233" s="30"/>
      <c r="K233" s="30"/>
      <c r="L233" s="30"/>
      <c r="M233" s="30"/>
      <c r="N233" s="10"/>
    </row>
    <row r="234" spans="1:14" x14ac:dyDescent="0.25">
      <c r="A234" s="15" t="s">
        <v>7</v>
      </c>
      <c r="B234" s="5" t="s">
        <v>8</v>
      </c>
      <c r="C234" s="35">
        <v>-19.89</v>
      </c>
      <c r="D234" s="35">
        <v>-50.35</v>
      </c>
      <c r="E234" s="35"/>
      <c r="F234" s="26"/>
      <c r="G234" s="35"/>
      <c r="H234" s="35"/>
      <c r="I234" s="35"/>
      <c r="J234" s="35"/>
      <c r="K234" s="35"/>
      <c r="L234" s="35"/>
      <c r="M234" s="35"/>
      <c r="N234" s="16"/>
    </row>
    <row r="235" spans="1:14" x14ac:dyDescent="0.25">
      <c r="A235" s="143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5"/>
    </row>
    <row r="236" spans="1:14" ht="18.75" x14ac:dyDescent="0.25">
      <c r="A236" s="146" t="s">
        <v>311</v>
      </c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8"/>
    </row>
    <row r="237" spans="1:14" x14ac:dyDescent="0.25">
      <c r="A237" s="149" t="s">
        <v>292</v>
      </c>
      <c r="B237" s="150" t="s">
        <v>293</v>
      </c>
      <c r="C237" s="151" t="s">
        <v>312</v>
      </c>
      <c r="D237" s="152"/>
      <c r="E237" s="152"/>
      <c r="F237" s="153"/>
      <c r="G237" s="151" t="s">
        <v>313</v>
      </c>
      <c r="H237" s="152"/>
      <c r="I237" s="152"/>
      <c r="J237" s="153"/>
      <c r="K237" s="30"/>
      <c r="L237" s="30"/>
      <c r="M237" s="30"/>
      <c r="N237" s="10"/>
    </row>
    <row r="238" spans="1:14" x14ac:dyDescent="0.25">
      <c r="A238" s="149"/>
      <c r="B238" s="150"/>
      <c r="C238" s="154"/>
      <c r="D238" s="155"/>
      <c r="E238" s="155"/>
      <c r="F238" s="156"/>
      <c r="G238" s="154"/>
      <c r="H238" s="155"/>
      <c r="I238" s="155"/>
      <c r="J238" s="156"/>
      <c r="K238" s="30"/>
      <c r="L238" s="30"/>
      <c r="M238" s="30"/>
      <c r="N238" s="10"/>
    </row>
    <row r="239" spans="1:14" ht="15.75" thickBot="1" x14ac:dyDescent="0.3">
      <c r="A239" s="17"/>
      <c r="B239" s="18"/>
      <c r="C239" s="142"/>
      <c r="D239" s="142"/>
      <c r="E239" s="142"/>
      <c r="F239" s="142"/>
      <c r="G239" s="142"/>
      <c r="H239" s="142"/>
      <c r="I239" s="142"/>
      <c r="J239" s="142"/>
      <c r="K239" s="19"/>
      <c r="L239" s="19"/>
      <c r="M239" s="19"/>
      <c r="N239" s="20"/>
    </row>
    <row r="240" spans="1:14" ht="15.75" thickTop="1" x14ac:dyDescent="0.25"/>
    <row r="241" spans="1:14" ht="18.75" x14ac:dyDescent="0.25">
      <c r="A241" s="168" t="s">
        <v>340</v>
      </c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70"/>
    </row>
    <row r="242" spans="1:14" x14ac:dyDescent="0.25">
      <c r="A242" s="171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72"/>
    </row>
    <row r="243" spans="1:14" ht="18.75" x14ac:dyDescent="0.25">
      <c r="A243" s="173" t="s">
        <v>291</v>
      </c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74"/>
    </row>
    <row r="244" spans="1:14" x14ac:dyDescent="0.25">
      <c r="A244" s="175" t="s">
        <v>292</v>
      </c>
      <c r="B244" s="150" t="s">
        <v>293</v>
      </c>
      <c r="C244" s="157" t="s">
        <v>294</v>
      </c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76"/>
    </row>
    <row r="245" spans="1:14" x14ac:dyDescent="0.25">
      <c r="A245" s="175"/>
      <c r="B245" s="150"/>
      <c r="C245" s="30" t="s">
        <v>295</v>
      </c>
      <c r="D245" s="30" t="s">
        <v>296</v>
      </c>
      <c r="E245" s="30" t="s">
        <v>297</v>
      </c>
      <c r="F245" s="30" t="s">
        <v>298</v>
      </c>
      <c r="G245" s="30" t="s">
        <v>299</v>
      </c>
      <c r="H245" s="30" t="s">
        <v>300</v>
      </c>
      <c r="I245" s="30" t="s">
        <v>301</v>
      </c>
      <c r="J245" s="30" t="s">
        <v>302</v>
      </c>
      <c r="K245" s="30" t="s">
        <v>303</v>
      </c>
      <c r="L245" s="30" t="s">
        <v>304</v>
      </c>
      <c r="M245" s="30" t="s">
        <v>305</v>
      </c>
      <c r="N245" s="42" t="s">
        <v>306</v>
      </c>
    </row>
    <row r="246" spans="1:14" x14ac:dyDescent="0.25">
      <c r="A246" s="38">
        <v>205</v>
      </c>
      <c r="B246" s="5" t="s">
        <v>341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43"/>
    </row>
    <row r="247" spans="1:14" x14ac:dyDescent="0.25">
      <c r="A247" s="171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72"/>
    </row>
    <row r="248" spans="1:14" x14ac:dyDescent="0.25">
      <c r="A248" s="175" t="s">
        <v>292</v>
      </c>
      <c r="B248" s="150" t="s">
        <v>293</v>
      </c>
      <c r="C248" s="157" t="s">
        <v>308</v>
      </c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76"/>
    </row>
    <row r="249" spans="1:14" x14ac:dyDescent="0.25">
      <c r="A249" s="175"/>
      <c r="B249" s="150"/>
      <c r="C249" s="30" t="s">
        <v>295</v>
      </c>
      <c r="D249" s="30" t="s">
        <v>296</v>
      </c>
      <c r="E249" s="30" t="s">
        <v>297</v>
      </c>
      <c r="F249" s="30" t="s">
        <v>298</v>
      </c>
      <c r="G249" s="30" t="s">
        <v>299</v>
      </c>
      <c r="H249" s="30" t="s">
        <v>300</v>
      </c>
      <c r="I249" s="30" t="s">
        <v>301</v>
      </c>
      <c r="J249" s="30" t="s">
        <v>302</v>
      </c>
      <c r="K249" s="30" t="s">
        <v>303</v>
      </c>
      <c r="L249" s="30" t="s">
        <v>304</v>
      </c>
      <c r="M249" s="30" t="s">
        <v>305</v>
      </c>
      <c r="N249" s="42" t="s">
        <v>306</v>
      </c>
    </row>
    <row r="250" spans="1:14" x14ac:dyDescent="0.25">
      <c r="A250" s="38">
        <v>205</v>
      </c>
      <c r="B250" s="5" t="s">
        <v>341</v>
      </c>
      <c r="C250" s="29">
        <v>4.74</v>
      </c>
      <c r="D250" s="29">
        <v>5.07</v>
      </c>
      <c r="E250" s="29">
        <v>4.9400000000000004</v>
      </c>
      <c r="F250" s="29">
        <v>4.93</v>
      </c>
      <c r="G250" s="29">
        <v>4.74</v>
      </c>
      <c r="H250" s="29">
        <v>4.7699999999999996</v>
      </c>
      <c r="I250" s="29">
        <v>5.58</v>
      </c>
      <c r="J250" s="29">
        <v>6.84</v>
      </c>
      <c r="K250" s="29">
        <v>6.9</v>
      </c>
      <c r="L250" s="29">
        <v>6.06</v>
      </c>
      <c r="M250" s="29">
        <v>5.57</v>
      </c>
      <c r="N250" s="44">
        <v>4.74</v>
      </c>
    </row>
    <row r="251" spans="1:14" x14ac:dyDescent="0.25">
      <c r="A251" s="171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72"/>
    </row>
    <row r="252" spans="1:14" ht="18.75" x14ac:dyDescent="0.25">
      <c r="A252" s="173" t="s">
        <v>309</v>
      </c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74"/>
    </row>
    <row r="253" spans="1:14" x14ac:dyDescent="0.25">
      <c r="A253" s="175" t="s">
        <v>292</v>
      </c>
      <c r="B253" s="150" t="s">
        <v>293</v>
      </c>
      <c r="C253" s="150" t="s">
        <v>1</v>
      </c>
      <c r="D253" s="150" t="s">
        <v>2</v>
      </c>
      <c r="E253" s="150" t="s">
        <v>310</v>
      </c>
      <c r="F253" s="150"/>
      <c r="G253" s="150"/>
      <c r="H253" s="150"/>
      <c r="I253" s="30"/>
      <c r="J253" s="30"/>
      <c r="K253" s="30"/>
      <c r="L253" s="30"/>
      <c r="M253" s="30"/>
      <c r="N253" s="42"/>
    </row>
    <row r="254" spans="1:14" x14ac:dyDescent="0.25">
      <c r="A254" s="175"/>
      <c r="B254" s="150"/>
      <c r="C254" s="150"/>
      <c r="D254" s="150"/>
      <c r="E254" s="30" t="s">
        <v>292</v>
      </c>
      <c r="F254" s="30" t="s">
        <v>293</v>
      </c>
      <c r="G254" s="30" t="s">
        <v>1</v>
      </c>
      <c r="H254" s="30" t="s">
        <v>2</v>
      </c>
      <c r="I254" s="30"/>
      <c r="J254" s="30"/>
      <c r="K254" s="30"/>
      <c r="L254" s="30"/>
      <c r="M254" s="30"/>
      <c r="N254" s="42"/>
    </row>
    <row r="255" spans="1:14" x14ac:dyDescent="0.25">
      <c r="A255" s="15" t="s">
        <v>51</v>
      </c>
      <c r="B255" s="5" t="s">
        <v>52</v>
      </c>
      <c r="C255" s="35">
        <v>-16.149999999999999</v>
      </c>
      <c r="D255" s="35">
        <v>-48.67</v>
      </c>
      <c r="E255" s="35"/>
      <c r="F255" s="26"/>
      <c r="G255" s="35"/>
      <c r="H255" s="35"/>
      <c r="I255" s="35"/>
      <c r="J255" s="35"/>
      <c r="K255" s="35"/>
      <c r="L255" s="35"/>
      <c r="M255" s="35"/>
      <c r="N255" s="46"/>
    </row>
    <row r="256" spans="1:14" x14ac:dyDescent="0.25">
      <c r="A256" s="171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72"/>
    </row>
    <row r="257" spans="1:14" ht="18.75" x14ac:dyDescent="0.25">
      <c r="A257" s="173" t="s">
        <v>311</v>
      </c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74"/>
    </row>
    <row r="258" spans="1:14" x14ac:dyDescent="0.25">
      <c r="A258" s="175" t="s">
        <v>292</v>
      </c>
      <c r="B258" s="150" t="s">
        <v>293</v>
      </c>
      <c r="C258" s="151" t="s">
        <v>312</v>
      </c>
      <c r="D258" s="152"/>
      <c r="E258" s="152"/>
      <c r="F258" s="153"/>
      <c r="G258" s="151" t="s">
        <v>313</v>
      </c>
      <c r="H258" s="152"/>
      <c r="I258" s="152"/>
      <c r="J258" s="153"/>
      <c r="K258" s="30"/>
      <c r="L258" s="30"/>
      <c r="M258" s="30"/>
      <c r="N258" s="42"/>
    </row>
    <row r="259" spans="1:14" x14ac:dyDescent="0.25">
      <c r="A259" s="175"/>
      <c r="B259" s="150"/>
      <c r="C259" s="154"/>
      <c r="D259" s="155"/>
      <c r="E259" s="155"/>
      <c r="F259" s="156"/>
      <c r="G259" s="154"/>
      <c r="H259" s="155"/>
      <c r="I259" s="155"/>
      <c r="J259" s="156"/>
      <c r="K259" s="30"/>
      <c r="L259" s="30"/>
      <c r="M259" s="30"/>
      <c r="N259" s="42"/>
    </row>
    <row r="260" spans="1:14" ht="15.75" thickBot="1" x14ac:dyDescent="0.3">
      <c r="A260" s="49"/>
      <c r="B260" s="50"/>
      <c r="C260" s="177"/>
      <c r="D260" s="177"/>
      <c r="E260" s="177"/>
      <c r="F260" s="177"/>
      <c r="G260" s="177"/>
      <c r="H260" s="177"/>
      <c r="I260" s="177"/>
      <c r="J260" s="177"/>
      <c r="K260" s="51"/>
      <c r="L260" s="51"/>
      <c r="M260" s="51"/>
      <c r="N260" s="52"/>
    </row>
    <row r="261" spans="1:14" ht="16.5" thickTop="1" thickBot="1" x14ac:dyDescent="0.3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</row>
    <row r="262" spans="1:14" ht="19.5" thickTop="1" x14ac:dyDescent="0.25">
      <c r="A262" s="178" t="s">
        <v>342</v>
      </c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80"/>
    </row>
    <row r="263" spans="1:14" x14ac:dyDescent="0.25">
      <c r="A263" s="171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72"/>
    </row>
    <row r="264" spans="1:14" ht="18.75" x14ac:dyDescent="0.25">
      <c r="A264" s="173" t="s">
        <v>291</v>
      </c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74"/>
    </row>
    <row r="265" spans="1:14" x14ac:dyDescent="0.25">
      <c r="A265" s="175" t="s">
        <v>292</v>
      </c>
      <c r="B265" s="150" t="s">
        <v>293</v>
      </c>
      <c r="C265" s="157" t="s">
        <v>294</v>
      </c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76"/>
    </row>
    <row r="266" spans="1:14" x14ac:dyDescent="0.25">
      <c r="A266" s="175"/>
      <c r="B266" s="150"/>
      <c r="C266" s="30" t="s">
        <v>295</v>
      </c>
      <c r="D266" s="30" t="s">
        <v>296</v>
      </c>
      <c r="E266" s="30" t="s">
        <v>297</v>
      </c>
      <c r="F266" s="30" t="s">
        <v>298</v>
      </c>
      <c r="G266" s="30" t="s">
        <v>299</v>
      </c>
      <c r="H266" s="30" t="s">
        <v>300</v>
      </c>
      <c r="I266" s="30" t="s">
        <v>301</v>
      </c>
      <c r="J266" s="30" t="s">
        <v>302</v>
      </c>
      <c r="K266" s="30" t="s">
        <v>303</v>
      </c>
      <c r="L266" s="30" t="s">
        <v>304</v>
      </c>
      <c r="M266" s="30" t="s">
        <v>305</v>
      </c>
      <c r="N266" s="42" t="s">
        <v>306</v>
      </c>
    </row>
    <row r="267" spans="1:14" x14ac:dyDescent="0.25">
      <c r="A267" s="38">
        <v>23</v>
      </c>
      <c r="B267" s="5" t="s">
        <v>343</v>
      </c>
      <c r="C267" s="6">
        <v>0.1</v>
      </c>
      <c r="D267" s="6">
        <v>0.1</v>
      </c>
      <c r="E267" s="6">
        <v>0.1</v>
      </c>
      <c r="F267" s="6">
        <v>0.1</v>
      </c>
      <c r="G267" s="6">
        <v>0.1</v>
      </c>
      <c r="H267" s="6">
        <v>0.1</v>
      </c>
      <c r="I267" s="6">
        <v>0.1</v>
      </c>
      <c r="J267" s="6">
        <v>0.1</v>
      </c>
      <c r="K267" s="6">
        <v>0.1</v>
      </c>
      <c r="L267" s="6">
        <v>0.1</v>
      </c>
      <c r="M267" s="6">
        <v>0.1</v>
      </c>
      <c r="N267" s="43">
        <v>0.1</v>
      </c>
    </row>
    <row r="268" spans="1:14" x14ac:dyDescent="0.25">
      <c r="A268" s="47">
        <v>209</v>
      </c>
      <c r="B268" s="3" t="s">
        <v>344</v>
      </c>
      <c r="C268" s="9">
        <v>0.9</v>
      </c>
      <c r="D268" s="9">
        <v>0.9</v>
      </c>
      <c r="E268" s="9">
        <v>0.9</v>
      </c>
      <c r="F268" s="9">
        <v>0.9</v>
      </c>
      <c r="G268" s="9">
        <v>0.9</v>
      </c>
      <c r="H268" s="9">
        <v>0.9</v>
      </c>
      <c r="I268" s="9">
        <v>0.9</v>
      </c>
      <c r="J268" s="9">
        <v>0.9</v>
      </c>
      <c r="K268" s="9">
        <v>0.9</v>
      </c>
      <c r="L268" s="9">
        <v>0.9</v>
      </c>
      <c r="M268" s="9">
        <v>0.9</v>
      </c>
      <c r="N268" s="48">
        <v>0.9</v>
      </c>
    </row>
    <row r="269" spans="1:14" x14ac:dyDescent="0.25">
      <c r="A269" s="171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72"/>
    </row>
    <row r="270" spans="1:14" x14ac:dyDescent="0.25">
      <c r="A270" s="175" t="s">
        <v>292</v>
      </c>
      <c r="B270" s="150" t="s">
        <v>293</v>
      </c>
      <c r="C270" s="157" t="s">
        <v>308</v>
      </c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76"/>
    </row>
    <row r="271" spans="1:14" x14ac:dyDescent="0.25">
      <c r="A271" s="175"/>
      <c r="B271" s="150"/>
      <c r="C271" s="30" t="s">
        <v>295</v>
      </c>
      <c r="D271" s="30" t="s">
        <v>296</v>
      </c>
      <c r="E271" s="30" t="s">
        <v>297</v>
      </c>
      <c r="F271" s="30" t="s">
        <v>298</v>
      </c>
      <c r="G271" s="30" t="s">
        <v>299</v>
      </c>
      <c r="H271" s="30" t="s">
        <v>300</v>
      </c>
      <c r="I271" s="30" t="s">
        <v>301</v>
      </c>
      <c r="J271" s="30" t="s">
        <v>302</v>
      </c>
      <c r="K271" s="30" t="s">
        <v>303</v>
      </c>
      <c r="L271" s="30" t="s">
        <v>304</v>
      </c>
      <c r="M271" s="30" t="s">
        <v>305</v>
      </c>
      <c r="N271" s="42" t="s">
        <v>306</v>
      </c>
    </row>
    <row r="272" spans="1:14" x14ac:dyDescent="0.25">
      <c r="A272" s="38">
        <v>209</v>
      </c>
      <c r="B272" s="5" t="s">
        <v>344</v>
      </c>
      <c r="C272" s="29">
        <v>5</v>
      </c>
      <c r="D272" s="29">
        <v>5.39</v>
      </c>
      <c r="E272" s="29">
        <v>5.03</v>
      </c>
      <c r="F272" s="29">
        <v>4.7300000000000004</v>
      </c>
      <c r="G272" s="29">
        <v>4.1900000000000004</v>
      </c>
      <c r="H272" s="29">
        <v>4</v>
      </c>
      <c r="I272" s="29">
        <v>4.71</v>
      </c>
      <c r="J272" s="29">
        <v>5.68</v>
      </c>
      <c r="K272" s="29">
        <v>5.97</v>
      </c>
      <c r="L272" s="29">
        <v>6.26</v>
      </c>
      <c r="M272" s="29">
        <v>5.63</v>
      </c>
      <c r="N272" s="44">
        <v>4.84</v>
      </c>
    </row>
    <row r="273" spans="1:14" x14ac:dyDescent="0.25">
      <c r="A273" s="171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72"/>
    </row>
    <row r="274" spans="1:14" ht="18.75" x14ac:dyDescent="0.25">
      <c r="A274" s="173" t="s">
        <v>309</v>
      </c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74"/>
    </row>
    <row r="275" spans="1:14" x14ac:dyDescent="0.25">
      <c r="A275" s="175" t="s">
        <v>292</v>
      </c>
      <c r="B275" s="150" t="s">
        <v>293</v>
      </c>
      <c r="C275" s="150" t="s">
        <v>1</v>
      </c>
      <c r="D275" s="150" t="s">
        <v>2</v>
      </c>
      <c r="E275" s="150" t="s">
        <v>310</v>
      </c>
      <c r="F275" s="150"/>
      <c r="G275" s="150"/>
      <c r="H275" s="150"/>
      <c r="I275" s="30"/>
      <c r="J275" s="30"/>
      <c r="K275" s="30"/>
      <c r="L275" s="30"/>
      <c r="M275" s="30"/>
      <c r="N275" s="42"/>
    </row>
    <row r="276" spans="1:14" x14ac:dyDescent="0.25">
      <c r="A276" s="175"/>
      <c r="B276" s="150"/>
      <c r="C276" s="150"/>
      <c r="D276" s="150"/>
      <c r="E276" s="30" t="s">
        <v>292</v>
      </c>
      <c r="F276" s="30" t="s">
        <v>293</v>
      </c>
      <c r="G276" s="30" t="s">
        <v>1</v>
      </c>
      <c r="H276" s="30" t="s">
        <v>2</v>
      </c>
      <c r="I276" s="30"/>
      <c r="J276" s="30"/>
      <c r="K276" s="30"/>
      <c r="L276" s="30"/>
      <c r="M276" s="30"/>
      <c r="N276" s="42"/>
    </row>
    <row r="277" spans="1:14" x14ac:dyDescent="0.25">
      <c r="A277" s="15" t="s">
        <v>49</v>
      </c>
      <c r="B277" s="5" t="s">
        <v>50</v>
      </c>
      <c r="C277" s="35">
        <v>-17.989999999999998</v>
      </c>
      <c r="D277" s="35">
        <v>-48.54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46"/>
    </row>
    <row r="278" spans="1:14" x14ac:dyDescent="0.25">
      <c r="A278" s="171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72"/>
    </row>
    <row r="279" spans="1:14" ht="18.75" x14ac:dyDescent="0.25">
      <c r="A279" s="173" t="s">
        <v>311</v>
      </c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74"/>
    </row>
    <row r="280" spans="1:14" x14ac:dyDescent="0.25">
      <c r="A280" s="175" t="s">
        <v>292</v>
      </c>
      <c r="B280" s="150" t="s">
        <v>293</v>
      </c>
      <c r="C280" s="151" t="s">
        <v>312</v>
      </c>
      <c r="D280" s="152"/>
      <c r="E280" s="152"/>
      <c r="F280" s="153"/>
      <c r="G280" s="151" t="s">
        <v>313</v>
      </c>
      <c r="H280" s="152"/>
      <c r="I280" s="152"/>
      <c r="J280" s="153"/>
      <c r="K280" s="30"/>
      <c r="L280" s="30"/>
      <c r="M280" s="30"/>
      <c r="N280" s="42"/>
    </row>
    <row r="281" spans="1:14" x14ac:dyDescent="0.25">
      <c r="A281" s="175"/>
      <c r="B281" s="150"/>
      <c r="C281" s="154"/>
      <c r="D281" s="155"/>
      <c r="E281" s="155"/>
      <c r="F281" s="156"/>
      <c r="G281" s="154"/>
      <c r="H281" s="155"/>
      <c r="I281" s="155"/>
      <c r="J281" s="156"/>
      <c r="K281" s="30"/>
      <c r="L281" s="30"/>
      <c r="M281" s="30"/>
      <c r="N281" s="42"/>
    </row>
    <row r="282" spans="1:14" ht="15.75" thickBot="1" x14ac:dyDescent="0.3">
      <c r="A282" s="49"/>
      <c r="B282" s="50"/>
      <c r="C282" s="177"/>
      <c r="D282" s="177"/>
      <c r="E282" s="177"/>
      <c r="F282" s="177"/>
      <c r="G282" s="177"/>
      <c r="H282" s="177"/>
      <c r="I282" s="177"/>
      <c r="J282" s="177"/>
      <c r="K282" s="51"/>
      <c r="L282" s="51"/>
      <c r="M282" s="51"/>
      <c r="N282" s="52"/>
    </row>
    <row r="283" spans="1:14" ht="16.5" thickTop="1" thickBot="1" x14ac:dyDescent="0.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</row>
    <row r="284" spans="1:14" ht="19.5" thickTop="1" x14ac:dyDescent="0.25">
      <c r="A284" s="178" t="s">
        <v>345</v>
      </c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80"/>
    </row>
    <row r="285" spans="1:14" x14ac:dyDescent="0.25">
      <c r="A285" s="171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72"/>
    </row>
    <row r="286" spans="1:14" ht="18.75" x14ac:dyDescent="0.25">
      <c r="A286" s="173" t="s">
        <v>291</v>
      </c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74"/>
    </row>
    <row r="287" spans="1:14" x14ac:dyDescent="0.25">
      <c r="A287" s="175" t="s">
        <v>292</v>
      </c>
      <c r="B287" s="150" t="s">
        <v>293</v>
      </c>
      <c r="C287" s="157" t="s">
        <v>294</v>
      </c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76"/>
    </row>
    <row r="288" spans="1:14" x14ac:dyDescent="0.25">
      <c r="A288" s="175"/>
      <c r="B288" s="150"/>
      <c r="C288" s="30" t="s">
        <v>295</v>
      </c>
      <c r="D288" s="30" t="s">
        <v>296</v>
      </c>
      <c r="E288" s="30" t="s">
        <v>297</v>
      </c>
      <c r="F288" s="30" t="s">
        <v>298</v>
      </c>
      <c r="G288" s="30" t="s">
        <v>299</v>
      </c>
      <c r="H288" s="30" t="s">
        <v>300</v>
      </c>
      <c r="I288" s="30" t="s">
        <v>301</v>
      </c>
      <c r="J288" s="30" t="s">
        <v>302</v>
      </c>
      <c r="K288" s="30" t="s">
        <v>303</v>
      </c>
      <c r="L288" s="30" t="s">
        <v>304</v>
      </c>
      <c r="M288" s="30" t="s">
        <v>305</v>
      </c>
      <c r="N288" s="42" t="s">
        <v>306</v>
      </c>
    </row>
    <row r="289" spans="1:14" x14ac:dyDescent="0.25">
      <c r="A289" s="38">
        <v>22</v>
      </c>
      <c r="B289" s="5" t="s">
        <v>346</v>
      </c>
      <c r="C289" s="6">
        <v>0.61499999999999999</v>
      </c>
      <c r="D289" s="6">
        <v>0.61499999999999999</v>
      </c>
      <c r="E289" s="6">
        <v>0.61499999999999999</v>
      </c>
      <c r="F289" s="6">
        <v>0.61499999999999999</v>
      </c>
      <c r="G289" s="6">
        <v>0.61499999999999999</v>
      </c>
      <c r="H289" s="6">
        <v>0.61499999999999999</v>
      </c>
      <c r="I289" s="6">
        <v>0.61499999999999999</v>
      </c>
      <c r="J289" s="6">
        <v>0.61499999999999999</v>
      </c>
      <c r="K289" s="6">
        <v>0.61499999999999999</v>
      </c>
      <c r="L289" s="6">
        <v>0.61499999999999999</v>
      </c>
      <c r="M289" s="6">
        <v>0.61499999999999999</v>
      </c>
      <c r="N289" s="43">
        <v>0.61499999999999999</v>
      </c>
    </row>
    <row r="290" spans="1:14" x14ac:dyDescent="0.25">
      <c r="A290" s="47">
        <v>251</v>
      </c>
      <c r="B290" s="3" t="s">
        <v>62</v>
      </c>
      <c r="C290" s="9">
        <v>0.38500000000000001</v>
      </c>
      <c r="D290" s="9">
        <v>0.38500000000000001</v>
      </c>
      <c r="E290" s="9">
        <v>0.38500000000000001</v>
      </c>
      <c r="F290" s="9">
        <v>0.38500000000000001</v>
      </c>
      <c r="G290" s="9">
        <v>0.38500000000000001</v>
      </c>
      <c r="H290" s="9">
        <v>0.38500000000000001</v>
      </c>
      <c r="I290" s="9">
        <v>0.38500000000000001</v>
      </c>
      <c r="J290" s="9">
        <v>0.38500000000000001</v>
      </c>
      <c r="K290" s="9">
        <v>0.38500000000000001</v>
      </c>
      <c r="L290" s="9">
        <v>0.38500000000000001</v>
      </c>
      <c r="M290" s="9">
        <v>0.38500000000000001</v>
      </c>
      <c r="N290" s="48">
        <v>0.38500000000000001</v>
      </c>
    </row>
    <row r="291" spans="1:14" x14ac:dyDescent="0.25">
      <c r="A291" s="171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72"/>
    </row>
    <row r="292" spans="1:14" x14ac:dyDescent="0.25">
      <c r="A292" s="175" t="s">
        <v>292</v>
      </c>
      <c r="B292" s="150" t="s">
        <v>293</v>
      </c>
      <c r="C292" s="157" t="s">
        <v>308</v>
      </c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76"/>
    </row>
    <row r="293" spans="1:14" x14ac:dyDescent="0.25">
      <c r="A293" s="175"/>
      <c r="B293" s="150"/>
      <c r="C293" s="30" t="s">
        <v>295</v>
      </c>
      <c r="D293" s="30" t="s">
        <v>296</v>
      </c>
      <c r="E293" s="30" t="s">
        <v>297</v>
      </c>
      <c r="F293" s="30" t="s">
        <v>298</v>
      </c>
      <c r="G293" s="30" t="s">
        <v>299</v>
      </c>
      <c r="H293" s="30" t="s">
        <v>300</v>
      </c>
      <c r="I293" s="30" t="s">
        <v>301</v>
      </c>
      <c r="J293" s="30" t="s">
        <v>302</v>
      </c>
      <c r="K293" s="30" t="s">
        <v>303</v>
      </c>
      <c r="L293" s="30" t="s">
        <v>304</v>
      </c>
      <c r="M293" s="30" t="s">
        <v>305</v>
      </c>
      <c r="N293" s="42" t="s">
        <v>306</v>
      </c>
    </row>
    <row r="294" spans="1:14" x14ac:dyDescent="0.25">
      <c r="A294" s="38">
        <v>251</v>
      </c>
      <c r="B294" s="5" t="s">
        <v>62</v>
      </c>
      <c r="C294" s="29">
        <v>5</v>
      </c>
      <c r="D294" s="29">
        <v>5.25</v>
      </c>
      <c r="E294" s="29">
        <v>5.03</v>
      </c>
      <c r="F294" s="29">
        <v>4.7699999999999996</v>
      </c>
      <c r="G294" s="29">
        <v>4.16</v>
      </c>
      <c r="H294" s="29">
        <v>3.9</v>
      </c>
      <c r="I294" s="29">
        <v>4.55</v>
      </c>
      <c r="J294" s="29">
        <v>5.71</v>
      </c>
      <c r="K294" s="29">
        <v>6</v>
      </c>
      <c r="L294" s="29">
        <v>6.13</v>
      </c>
      <c r="M294" s="29">
        <v>5.57</v>
      </c>
      <c r="N294" s="44">
        <v>4.7699999999999996</v>
      </c>
    </row>
    <row r="295" spans="1:14" x14ac:dyDescent="0.25">
      <c r="A295" s="171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72"/>
    </row>
    <row r="296" spans="1:14" ht="18.75" x14ac:dyDescent="0.25">
      <c r="A296" s="173" t="s">
        <v>309</v>
      </c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74"/>
    </row>
    <row r="297" spans="1:14" x14ac:dyDescent="0.25">
      <c r="A297" s="175" t="s">
        <v>292</v>
      </c>
      <c r="B297" s="150" t="s">
        <v>293</v>
      </c>
      <c r="C297" s="150" t="s">
        <v>1</v>
      </c>
      <c r="D297" s="150" t="s">
        <v>2</v>
      </c>
      <c r="E297" s="150" t="s">
        <v>310</v>
      </c>
      <c r="F297" s="150"/>
      <c r="G297" s="150"/>
      <c r="H297" s="150"/>
      <c r="I297" s="30"/>
      <c r="J297" s="30"/>
      <c r="K297" s="30"/>
      <c r="L297" s="30"/>
      <c r="M297" s="30"/>
      <c r="N297" s="42"/>
    </row>
    <row r="298" spans="1:14" x14ac:dyDescent="0.25">
      <c r="A298" s="175"/>
      <c r="B298" s="150"/>
      <c r="C298" s="150"/>
      <c r="D298" s="150"/>
      <c r="E298" s="30" t="s">
        <v>292</v>
      </c>
      <c r="F298" s="30" t="s">
        <v>293</v>
      </c>
      <c r="G298" s="30" t="s">
        <v>1</v>
      </c>
      <c r="H298" s="30" t="s">
        <v>2</v>
      </c>
      <c r="I298" s="30"/>
      <c r="J298" s="30"/>
      <c r="K298" s="30"/>
      <c r="L298" s="30"/>
      <c r="M298" s="30"/>
      <c r="N298" s="42"/>
    </row>
    <row r="299" spans="1:14" x14ac:dyDescent="0.25">
      <c r="A299" s="15" t="s">
        <v>61</v>
      </c>
      <c r="B299" s="5" t="s">
        <v>62</v>
      </c>
      <c r="C299" s="35">
        <v>-18.05</v>
      </c>
      <c r="D299" s="35">
        <v>-47.68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46"/>
    </row>
    <row r="300" spans="1:14" x14ac:dyDescent="0.25">
      <c r="A300" s="171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72"/>
    </row>
    <row r="301" spans="1:14" ht="18.75" x14ac:dyDescent="0.25">
      <c r="A301" s="173" t="s">
        <v>311</v>
      </c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74"/>
    </row>
    <row r="302" spans="1:14" x14ac:dyDescent="0.25">
      <c r="A302" s="175" t="s">
        <v>292</v>
      </c>
      <c r="B302" s="150" t="s">
        <v>293</v>
      </c>
      <c r="C302" s="151" t="s">
        <v>312</v>
      </c>
      <c r="D302" s="152"/>
      <c r="E302" s="152"/>
      <c r="F302" s="153"/>
      <c r="G302" s="151" t="s">
        <v>313</v>
      </c>
      <c r="H302" s="152"/>
      <c r="I302" s="152"/>
      <c r="J302" s="153"/>
      <c r="K302" s="30"/>
      <c r="L302" s="30"/>
      <c r="M302" s="30"/>
      <c r="N302" s="42"/>
    </row>
    <row r="303" spans="1:14" x14ac:dyDescent="0.25">
      <c r="A303" s="175"/>
      <c r="B303" s="150"/>
      <c r="C303" s="154"/>
      <c r="D303" s="155"/>
      <c r="E303" s="155"/>
      <c r="F303" s="156"/>
      <c r="G303" s="154"/>
      <c r="H303" s="155"/>
      <c r="I303" s="155"/>
      <c r="J303" s="156"/>
      <c r="K303" s="30"/>
      <c r="L303" s="30"/>
      <c r="M303" s="30"/>
      <c r="N303" s="42"/>
    </row>
    <row r="304" spans="1:14" ht="15.75" thickBot="1" x14ac:dyDescent="0.3">
      <c r="A304" s="49"/>
      <c r="B304" s="50"/>
      <c r="C304" s="177"/>
      <c r="D304" s="177"/>
      <c r="E304" s="177"/>
      <c r="F304" s="177"/>
      <c r="G304" s="177"/>
      <c r="H304" s="177"/>
      <c r="I304" s="177"/>
      <c r="J304" s="177"/>
      <c r="K304" s="51"/>
      <c r="L304" s="51"/>
      <c r="M304" s="51"/>
      <c r="N304" s="52"/>
    </row>
    <row r="305" spans="1:14" ht="16.5" thickTop="1" thickBot="1" x14ac:dyDescent="0.3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</row>
    <row r="306" spans="1:14" ht="19.5" thickTop="1" x14ac:dyDescent="0.25">
      <c r="A306" s="178" t="s">
        <v>347</v>
      </c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80"/>
    </row>
    <row r="307" spans="1:14" x14ac:dyDescent="0.25">
      <c r="A307" s="171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72"/>
    </row>
    <row r="308" spans="1:14" ht="18.75" x14ac:dyDescent="0.25">
      <c r="A308" s="173" t="s">
        <v>291</v>
      </c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74"/>
    </row>
    <row r="309" spans="1:14" x14ac:dyDescent="0.25">
      <c r="A309" s="175" t="s">
        <v>292</v>
      </c>
      <c r="B309" s="150" t="s">
        <v>293</v>
      </c>
      <c r="C309" s="157" t="s">
        <v>294</v>
      </c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76"/>
    </row>
    <row r="310" spans="1:14" x14ac:dyDescent="0.25">
      <c r="A310" s="175"/>
      <c r="B310" s="150"/>
      <c r="C310" s="30" t="s">
        <v>295</v>
      </c>
      <c r="D310" s="30" t="s">
        <v>296</v>
      </c>
      <c r="E310" s="30" t="s">
        <v>297</v>
      </c>
      <c r="F310" s="30" t="s">
        <v>298</v>
      </c>
      <c r="G310" s="30" t="s">
        <v>299</v>
      </c>
      <c r="H310" s="30" t="s">
        <v>300</v>
      </c>
      <c r="I310" s="30" t="s">
        <v>301</v>
      </c>
      <c r="J310" s="30" t="s">
        <v>302</v>
      </c>
      <c r="K310" s="30" t="s">
        <v>303</v>
      </c>
      <c r="L310" s="30" t="s">
        <v>304</v>
      </c>
      <c r="M310" s="30" t="s">
        <v>305</v>
      </c>
      <c r="N310" s="42" t="s">
        <v>306</v>
      </c>
    </row>
    <row r="311" spans="1:14" x14ac:dyDescent="0.25">
      <c r="A311" s="38">
        <v>24</v>
      </c>
      <c r="B311" s="5" t="s">
        <v>54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43"/>
    </row>
    <row r="312" spans="1:14" x14ac:dyDescent="0.25">
      <c r="A312" s="171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72"/>
    </row>
    <row r="313" spans="1:14" x14ac:dyDescent="0.25">
      <c r="A313" s="175" t="s">
        <v>292</v>
      </c>
      <c r="B313" s="150" t="s">
        <v>293</v>
      </c>
      <c r="C313" s="157" t="s">
        <v>308</v>
      </c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76"/>
    </row>
    <row r="314" spans="1:14" x14ac:dyDescent="0.25">
      <c r="A314" s="175"/>
      <c r="B314" s="150"/>
      <c r="C314" s="30" t="s">
        <v>295</v>
      </c>
      <c r="D314" s="30" t="s">
        <v>296</v>
      </c>
      <c r="E314" s="30" t="s">
        <v>297</v>
      </c>
      <c r="F314" s="30" t="s">
        <v>298</v>
      </c>
      <c r="G314" s="30" t="s">
        <v>299</v>
      </c>
      <c r="H314" s="30" t="s">
        <v>300</v>
      </c>
      <c r="I314" s="30" t="s">
        <v>301</v>
      </c>
      <c r="J314" s="30" t="s">
        <v>302</v>
      </c>
      <c r="K314" s="30" t="s">
        <v>303</v>
      </c>
      <c r="L314" s="30" t="s">
        <v>304</v>
      </c>
      <c r="M314" s="30" t="s">
        <v>305</v>
      </c>
      <c r="N314" s="42" t="s">
        <v>306</v>
      </c>
    </row>
    <row r="315" spans="1:14" x14ac:dyDescent="0.25">
      <c r="A315" s="38">
        <v>24</v>
      </c>
      <c r="B315" s="5" t="s">
        <v>54</v>
      </c>
      <c r="C315" s="29">
        <v>5.03</v>
      </c>
      <c r="D315" s="29">
        <v>5.32</v>
      </c>
      <c r="E315" s="29">
        <v>5.03</v>
      </c>
      <c r="F315" s="29">
        <v>4.63</v>
      </c>
      <c r="G315" s="29">
        <v>3.97</v>
      </c>
      <c r="H315" s="29">
        <v>3.7</v>
      </c>
      <c r="I315" s="29">
        <v>4.3499999999999996</v>
      </c>
      <c r="J315" s="29">
        <v>5.42</v>
      </c>
      <c r="K315" s="29">
        <v>5.77</v>
      </c>
      <c r="L315" s="29">
        <v>6.13</v>
      </c>
      <c r="M315" s="29">
        <v>5.63</v>
      </c>
      <c r="N315" s="44">
        <v>4.8099999999999996</v>
      </c>
    </row>
    <row r="316" spans="1:14" x14ac:dyDescent="0.25">
      <c r="A316" s="171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72"/>
    </row>
    <row r="317" spans="1:14" ht="18.75" x14ac:dyDescent="0.25">
      <c r="A317" s="173" t="s">
        <v>309</v>
      </c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74"/>
    </row>
    <row r="318" spans="1:14" x14ac:dyDescent="0.25">
      <c r="A318" s="175" t="s">
        <v>292</v>
      </c>
      <c r="B318" s="150" t="s">
        <v>293</v>
      </c>
      <c r="C318" s="150" t="s">
        <v>1</v>
      </c>
      <c r="D318" s="150" t="s">
        <v>2</v>
      </c>
      <c r="E318" s="150" t="s">
        <v>310</v>
      </c>
      <c r="F318" s="150"/>
      <c r="G318" s="150"/>
      <c r="H318" s="150"/>
      <c r="I318" s="30"/>
      <c r="J318" s="30"/>
      <c r="K318" s="30"/>
      <c r="L318" s="30"/>
      <c r="M318" s="30"/>
      <c r="N318" s="42"/>
    </row>
    <row r="319" spans="1:14" x14ac:dyDescent="0.25">
      <c r="A319" s="175"/>
      <c r="B319" s="150"/>
      <c r="C319" s="150"/>
      <c r="D319" s="150"/>
      <c r="E319" s="30" t="s">
        <v>292</v>
      </c>
      <c r="F319" s="30" t="s">
        <v>293</v>
      </c>
      <c r="G319" s="30" t="s">
        <v>1</v>
      </c>
      <c r="H319" s="30" t="s">
        <v>2</v>
      </c>
      <c r="I319" s="30"/>
      <c r="J319" s="30"/>
      <c r="K319" s="30"/>
      <c r="L319" s="30"/>
      <c r="M319" s="30"/>
      <c r="N319" s="42"/>
    </row>
    <row r="320" spans="1:14" x14ac:dyDescent="0.25">
      <c r="A320" s="15" t="s">
        <v>53</v>
      </c>
      <c r="B320" s="5" t="s">
        <v>54</v>
      </c>
      <c r="C320" s="35">
        <v>-18.45</v>
      </c>
      <c r="D320" s="35">
        <v>-47.98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46"/>
    </row>
    <row r="321" spans="1:14" x14ac:dyDescent="0.25">
      <c r="A321" s="171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72"/>
    </row>
    <row r="322" spans="1:14" ht="18.75" x14ac:dyDescent="0.25">
      <c r="A322" s="173" t="s">
        <v>311</v>
      </c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74"/>
    </row>
    <row r="323" spans="1:14" x14ac:dyDescent="0.25">
      <c r="A323" s="175" t="s">
        <v>292</v>
      </c>
      <c r="B323" s="150" t="s">
        <v>293</v>
      </c>
      <c r="C323" s="151" t="s">
        <v>312</v>
      </c>
      <c r="D323" s="152"/>
      <c r="E323" s="152"/>
      <c r="F323" s="153"/>
      <c r="G323" s="151" t="s">
        <v>313</v>
      </c>
      <c r="H323" s="152"/>
      <c r="I323" s="152"/>
      <c r="J323" s="153"/>
      <c r="K323" s="30"/>
      <c r="L323" s="30"/>
      <c r="M323" s="30"/>
      <c r="N323" s="42"/>
    </row>
    <row r="324" spans="1:14" x14ac:dyDescent="0.25">
      <c r="A324" s="175"/>
      <c r="B324" s="150"/>
      <c r="C324" s="154"/>
      <c r="D324" s="155"/>
      <c r="E324" s="155"/>
      <c r="F324" s="156"/>
      <c r="G324" s="154"/>
      <c r="H324" s="155"/>
      <c r="I324" s="155"/>
      <c r="J324" s="156"/>
      <c r="K324" s="30"/>
      <c r="L324" s="30"/>
      <c r="M324" s="30"/>
      <c r="N324" s="42"/>
    </row>
    <row r="325" spans="1:14" ht="15.75" thickBot="1" x14ac:dyDescent="0.3">
      <c r="A325" s="49"/>
      <c r="B325" s="50"/>
      <c r="C325" s="177"/>
      <c r="D325" s="177"/>
      <c r="E325" s="177"/>
      <c r="F325" s="177"/>
      <c r="G325" s="177"/>
      <c r="H325" s="177"/>
      <c r="I325" s="177"/>
      <c r="J325" s="177"/>
      <c r="K325" s="51"/>
      <c r="L325" s="51"/>
      <c r="M325" s="51"/>
      <c r="N325" s="52"/>
    </row>
    <row r="326" spans="1:14" ht="16.5" thickTop="1" thickBot="1" x14ac:dyDescent="0.3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</row>
    <row r="327" spans="1:14" ht="19.5" thickTop="1" x14ac:dyDescent="0.25">
      <c r="A327" s="178" t="s">
        <v>348</v>
      </c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80"/>
    </row>
    <row r="328" spans="1:14" x14ac:dyDescent="0.25">
      <c r="A328" s="171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72"/>
    </row>
    <row r="329" spans="1:14" ht="18.75" x14ac:dyDescent="0.25">
      <c r="A329" s="173" t="s">
        <v>291</v>
      </c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74"/>
    </row>
    <row r="330" spans="1:14" x14ac:dyDescent="0.25">
      <c r="A330" s="175" t="s">
        <v>292</v>
      </c>
      <c r="B330" s="150" t="s">
        <v>293</v>
      </c>
      <c r="C330" s="157" t="s">
        <v>294</v>
      </c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76"/>
    </row>
    <row r="331" spans="1:14" x14ac:dyDescent="0.25">
      <c r="A331" s="175"/>
      <c r="B331" s="150"/>
      <c r="C331" s="30" t="s">
        <v>295</v>
      </c>
      <c r="D331" s="30" t="s">
        <v>296</v>
      </c>
      <c r="E331" s="30" t="s">
        <v>297</v>
      </c>
      <c r="F331" s="30" t="s">
        <v>298</v>
      </c>
      <c r="G331" s="30" t="s">
        <v>299</v>
      </c>
      <c r="H331" s="30" t="s">
        <v>300</v>
      </c>
      <c r="I331" s="30" t="s">
        <v>301</v>
      </c>
      <c r="J331" s="30" t="s">
        <v>302</v>
      </c>
      <c r="K331" s="30" t="s">
        <v>303</v>
      </c>
      <c r="L331" s="30" t="s">
        <v>304</v>
      </c>
      <c r="M331" s="30" t="s">
        <v>305</v>
      </c>
      <c r="N331" s="42" t="s">
        <v>306</v>
      </c>
    </row>
    <row r="332" spans="1:14" x14ac:dyDescent="0.25">
      <c r="A332" s="38">
        <v>25</v>
      </c>
      <c r="B332" s="5" t="s">
        <v>58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43"/>
    </row>
    <row r="333" spans="1:14" x14ac:dyDescent="0.25">
      <c r="A333" s="171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72"/>
    </row>
    <row r="334" spans="1:14" x14ac:dyDescent="0.25">
      <c r="A334" s="175" t="s">
        <v>292</v>
      </c>
      <c r="B334" s="150" t="s">
        <v>293</v>
      </c>
      <c r="C334" s="157" t="s">
        <v>308</v>
      </c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76"/>
    </row>
    <row r="335" spans="1:14" x14ac:dyDescent="0.25">
      <c r="A335" s="175"/>
      <c r="B335" s="150"/>
      <c r="C335" s="30" t="s">
        <v>295</v>
      </c>
      <c r="D335" s="30" t="s">
        <v>296</v>
      </c>
      <c r="E335" s="30" t="s">
        <v>297</v>
      </c>
      <c r="F335" s="30" t="s">
        <v>298</v>
      </c>
      <c r="G335" s="30" t="s">
        <v>299</v>
      </c>
      <c r="H335" s="30" t="s">
        <v>300</v>
      </c>
      <c r="I335" s="30" t="s">
        <v>301</v>
      </c>
      <c r="J335" s="30" t="s">
        <v>302</v>
      </c>
      <c r="K335" s="30" t="s">
        <v>303</v>
      </c>
      <c r="L335" s="30" t="s">
        <v>304</v>
      </c>
      <c r="M335" s="30" t="s">
        <v>305</v>
      </c>
      <c r="N335" s="42" t="s">
        <v>306</v>
      </c>
    </row>
    <row r="336" spans="1:14" x14ac:dyDescent="0.25">
      <c r="A336" s="38">
        <v>25</v>
      </c>
      <c r="B336" s="5" t="s">
        <v>58</v>
      </c>
      <c r="C336" s="29">
        <v>5.13</v>
      </c>
      <c r="D336" s="29">
        <v>5.21</v>
      </c>
      <c r="E336" s="29">
        <v>5.0599999999999996</v>
      </c>
      <c r="F336" s="29">
        <v>4.7300000000000004</v>
      </c>
      <c r="G336" s="29">
        <v>4.29</v>
      </c>
      <c r="H336" s="29">
        <v>4.13</v>
      </c>
      <c r="I336" s="29">
        <v>4.71</v>
      </c>
      <c r="J336" s="29">
        <v>6</v>
      </c>
      <c r="K336" s="29">
        <v>6.3</v>
      </c>
      <c r="L336" s="29">
        <v>6</v>
      </c>
      <c r="M336" s="29">
        <v>5.6</v>
      </c>
      <c r="N336" s="44">
        <v>4.7699999999999996</v>
      </c>
    </row>
    <row r="337" spans="1:14" x14ac:dyDescent="0.25">
      <c r="A337" s="171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72"/>
    </row>
    <row r="338" spans="1:14" ht="18.75" x14ac:dyDescent="0.25">
      <c r="A338" s="173" t="s">
        <v>309</v>
      </c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74"/>
    </row>
    <row r="339" spans="1:14" x14ac:dyDescent="0.25">
      <c r="A339" s="175" t="s">
        <v>292</v>
      </c>
      <c r="B339" s="150" t="s">
        <v>293</v>
      </c>
      <c r="C339" s="150" t="s">
        <v>1</v>
      </c>
      <c r="D339" s="150" t="s">
        <v>2</v>
      </c>
      <c r="E339" s="150" t="s">
        <v>310</v>
      </c>
      <c r="F339" s="150"/>
      <c r="G339" s="150"/>
      <c r="H339" s="150"/>
      <c r="I339" s="30"/>
      <c r="J339" s="30"/>
      <c r="K339" s="30"/>
      <c r="L339" s="30"/>
      <c r="M339" s="30"/>
      <c r="N339" s="42"/>
    </row>
    <row r="340" spans="1:14" x14ac:dyDescent="0.25">
      <c r="A340" s="175"/>
      <c r="B340" s="150"/>
      <c r="C340" s="150"/>
      <c r="D340" s="150"/>
      <c r="E340" s="30" t="s">
        <v>292</v>
      </c>
      <c r="F340" s="30" t="s">
        <v>293</v>
      </c>
      <c r="G340" s="30" t="s">
        <v>1</v>
      </c>
      <c r="H340" s="30" t="s">
        <v>2</v>
      </c>
      <c r="I340" s="30"/>
      <c r="J340" s="30"/>
      <c r="K340" s="30"/>
      <c r="L340" s="30"/>
      <c r="M340" s="30"/>
      <c r="N340" s="42"/>
    </row>
    <row r="341" spans="1:14" x14ac:dyDescent="0.25">
      <c r="A341" s="15" t="s">
        <v>57</v>
      </c>
      <c r="B341" s="5" t="s">
        <v>58</v>
      </c>
      <c r="C341" s="35">
        <v>-19.13</v>
      </c>
      <c r="D341" s="35">
        <v>-47.7</v>
      </c>
      <c r="E341" s="35"/>
      <c r="F341" s="26"/>
      <c r="G341" s="35"/>
      <c r="H341" s="35"/>
      <c r="I341" s="35"/>
      <c r="J341" s="35"/>
      <c r="K341" s="35"/>
      <c r="L341" s="35"/>
      <c r="M341" s="35"/>
      <c r="N341" s="46"/>
    </row>
    <row r="342" spans="1:14" x14ac:dyDescent="0.25">
      <c r="A342" s="171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72"/>
    </row>
    <row r="343" spans="1:14" ht="18.75" x14ac:dyDescent="0.25">
      <c r="A343" s="173" t="s">
        <v>311</v>
      </c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74"/>
    </row>
    <row r="344" spans="1:14" x14ac:dyDescent="0.25">
      <c r="A344" s="175" t="s">
        <v>292</v>
      </c>
      <c r="B344" s="150" t="s">
        <v>293</v>
      </c>
      <c r="C344" s="151" t="s">
        <v>312</v>
      </c>
      <c r="D344" s="152"/>
      <c r="E344" s="152"/>
      <c r="F344" s="153"/>
      <c r="G344" s="151" t="s">
        <v>313</v>
      </c>
      <c r="H344" s="152"/>
      <c r="I344" s="152"/>
      <c r="J344" s="153"/>
      <c r="K344" s="30"/>
      <c r="L344" s="30"/>
      <c r="M344" s="30"/>
      <c r="N344" s="42"/>
    </row>
    <row r="345" spans="1:14" x14ac:dyDescent="0.25">
      <c r="A345" s="175"/>
      <c r="B345" s="150"/>
      <c r="C345" s="154"/>
      <c r="D345" s="155"/>
      <c r="E345" s="155"/>
      <c r="F345" s="156"/>
      <c r="G345" s="154"/>
      <c r="H345" s="155"/>
      <c r="I345" s="155"/>
      <c r="J345" s="156"/>
      <c r="K345" s="30"/>
      <c r="L345" s="30"/>
      <c r="M345" s="30"/>
      <c r="N345" s="42"/>
    </row>
    <row r="346" spans="1:14" ht="15.75" thickBot="1" x14ac:dyDescent="0.3">
      <c r="A346" s="49"/>
      <c r="B346" s="50"/>
      <c r="C346" s="177"/>
      <c r="D346" s="177"/>
      <c r="E346" s="177"/>
      <c r="F346" s="177"/>
      <c r="G346" s="177"/>
      <c r="H346" s="177"/>
      <c r="I346" s="177"/>
      <c r="J346" s="177"/>
      <c r="K346" s="51"/>
      <c r="L346" s="51"/>
      <c r="M346" s="51"/>
      <c r="N346" s="52"/>
    </row>
    <row r="347" spans="1:14" ht="16.5" thickTop="1" thickBot="1" x14ac:dyDescent="0.3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</row>
    <row r="348" spans="1:14" ht="19.5" thickTop="1" x14ac:dyDescent="0.25">
      <c r="A348" s="178" t="s">
        <v>349</v>
      </c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80"/>
    </row>
    <row r="349" spans="1:14" x14ac:dyDescent="0.25">
      <c r="A349" s="171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72"/>
    </row>
    <row r="350" spans="1:14" ht="18.75" x14ac:dyDescent="0.25">
      <c r="A350" s="173" t="s">
        <v>291</v>
      </c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74"/>
    </row>
    <row r="351" spans="1:14" x14ac:dyDescent="0.25">
      <c r="A351" s="175" t="s">
        <v>292</v>
      </c>
      <c r="B351" s="150" t="s">
        <v>293</v>
      </c>
      <c r="C351" s="157" t="s">
        <v>294</v>
      </c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76"/>
    </row>
    <row r="352" spans="1:14" x14ac:dyDescent="0.25">
      <c r="A352" s="175"/>
      <c r="B352" s="150"/>
      <c r="C352" s="30" t="s">
        <v>295</v>
      </c>
      <c r="D352" s="30" t="s">
        <v>296</v>
      </c>
      <c r="E352" s="30" t="s">
        <v>297</v>
      </c>
      <c r="F352" s="30" t="s">
        <v>298</v>
      </c>
      <c r="G352" s="30" t="s">
        <v>299</v>
      </c>
      <c r="H352" s="30" t="s">
        <v>300</v>
      </c>
      <c r="I352" s="30" t="s">
        <v>301</v>
      </c>
      <c r="J352" s="30" t="s">
        <v>302</v>
      </c>
      <c r="K352" s="30" t="s">
        <v>303</v>
      </c>
      <c r="L352" s="30" t="s">
        <v>304</v>
      </c>
      <c r="M352" s="30" t="s">
        <v>305</v>
      </c>
      <c r="N352" s="42" t="s">
        <v>306</v>
      </c>
    </row>
    <row r="353" spans="1:14" x14ac:dyDescent="0.25">
      <c r="A353" s="38">
        <v>28</v>
      </c>
      <c r="B353" s="5" t="s">
        <v>350</v>
      </c>
      <c r="C353" s="6">
        <v>1.2E-2</v>
      </c>
      <c r="D353" s="6">
        <v>1.2E-2</v>
      </c>
      <c r="E353" s="6">
        <v>1.2E-2</v>
      </c>
      <c r="F353" s="6">
        <v>1.2E-2</v>
      </c>
      <c r="G353" s="6">
        <v>1.2E-2</v>
      </c>
      <c r="H353" s="6">
        <v>1.2E-2</v>
      </c>
      <c r="I353" s="6">
        <v>1.2E-2</v>
      </c>
      <c r="J353" s="6">
        <v>1.2E-2</v>
      </c>
      <c r="K353" s="6">
        <v>1.2E-2</v>
      </c>
      <c r="L353" s="6">
        <v>1.2E-2</v>
      </c>
      <c r="M353" s="6">
        <v>1.2E-2</v>
      </c>
      <c r="N353" s="43">
        <v>1.2E-2</v>
      </c>
    </row>
    <row r="354" spans="1:14" x14ac:dyDescent="0.25">
      <c r="A354" s="47">
        <v>31</v>
      </c>
      <c r="B354" s="3" t="s">
        <v>56</v>
      </c>
      <c r="C354" s="9">
        <v>0.94299999999999995</v>
      </c>
      <c r="D354" s="9">
        <v>0.94299999999999995</v>
      </c>
      <c r="E354" s="9">
        <v>0.94299999999999995</v>
      </c>
      <c r="F354" s="9">
        <v>0.94299999999999995</v>
      </c>
      <c r="G354" s="9">
        <v>0.94299999999999995</v>
      </c>
      <c r="H354" s="9">
        <v>0.94299999999999995</v>
      </c>
      <c r="I354" s="9">
        <v>0.94299999999999995</v>
      </c>
      <c r="J354" s="9">
        <v>0.94299999999999995</v>
      </c>
      <c r="K354" s="9">
        <v>0.94299999999999995</v>
      </c>
      <c r="L354" s="9">
        <v>0.94299999999999995</v>
      </c>
      <c r="M354" s="9">
        <v>0.94299999999999995</v>
      </c>
      <c r="N354" s="48">
        <v>0.94299999999999995</v>
      </c>
    </row>
    <row r="355" spans="1:14" x14ac:dyDescent="0.25">
      <c r="A355" s="38">
        <v>206</v>
      </c>
      <c r="B355" s="5" t="s">
        <v>351</v>
      </c>
      <c r="C355" s="6">
        <v>0.04</v>
      </c>
      <c r="D355" s="6">
        <v>0.04</v>
      </c>
      <c r="E355" s="6">
        <v>0.04</v>
      </c>
      <c r="F355" s="6">
        <v>0.04</v>
      </c>
      <c r="G355" s="6">
        <v>0.04</v>
      </c>
      <c r="H355" s="6">
        <v>0.04</v>
      </c>
      <c r="I355" s="6">
        <v>0.04</v>
      </c>
      <c r="J355" s="6">
        <v>0.04</v>
      </c>
      <c r="K355" s="6">
        <v>0.04</v>
      </c>
      <c r="L355" s="6">
        <v>0.04</v>
      </c>
      <c r="M355" s="6">
        <v>0.04</v>
      </c>
      <c r="N355" s="43">
        <v>0.04</v>
      </c>
    </row>
    <row r="356" spans="1:14" x14ac:dyDescent="0.25">
      <c r="A356" s="47">
        <v>207</v>
      </c>
      <c r="B356" s="3" t="s">
        <v>352</v>
      </c>
      <c r="C356" s="9">
        <v>5.0000000000000001E-3</v>
      </c>
      <c r="D356" s="9">
        <v>5.0000000000000001E-3</v>
      </c>
      <c r="E356" s="9">
        <v>5.0000000000000001E-3</v>
      </c>
      <c r="F356" s="9">
        <v>5.0000000000000001E-3</v>
      </c>
      <c r="G356" s="9">
        <v>5.0000000000000001E-3</v>
      </c>
      <c r="H356" s="9">
        <v>5.0000000000000001E-3</v>
      </c>
      <c r="I356" s="9">
        <v>5.0000000000000001E-3</v>
      </c>
      <c r="J356" s="9">
        <v>5.0000000000000001E-3</v>
      </c>
      <c r="K356" s="9">
        <v>5.0000000000000001E-3</v>
      </c>
      <c r="L356" s="9">
        <v>5.0000000000000001E-3</v>
      </c>
      <c r="M356" s="9">
        <v>5.0000000000000001E-3</v>
      </c>
      <c r="N356" s="48">
        <v>5.0000000000000001E-3</v>
      </c>
    </row>
    <row r="357" spans="1:14" x14ac:dyDescent="0.25">
      <c r="A357" s="171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72"/>
    </row>
    <row r="358" spans="1:14" x14ac:dyDescent="0.25">
      <c r="A358" s="175" t="s">
        <v>292</v>
      </c>
      <c r="B358" s="150" t="s">
        <v>293</v>
      </c>
      <c r="C358" s="157" t="s">
        <v>308</v>
      </c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76"/>
    </row>
    <row r="359" spans="1:14" x14ac:dyDescent="0.25">
      <c r="A359" s="175"/>
      <c r="B359" s="150"/>
      <c r="C359" s="30" t="s">
        <v>295</v>
      </c>
      <c r="D359" s="30" t="s">
        <v>296</v>
      </c>
      <c r="E359" s="30" t="s">
        <v>297</v>
      </c>
      <c r="F359" s="30" t="s">
        <v>298</v>
      </c>
      <c r="G359" s="30" t="s">
        <v>299</v>
      </c>
      <c r="H359" s="30" t="s">
        <v>300</v>
      </c>
      <c r="I359" s="30" t="s">
        <v>301</v>
      </c>
      <c r="J359" s="30" t="s">
        <v>302</v>
      </c>
      <c r="K359" s="30" t="s">
        <v>303</v>
      </c>
      <c r="L359" s="30" t="s">
        <v>304</v>
      </c>
      <c r="M359" s="30" t="s">
        <v>305</v>
      </c>
      <c r="N359" s="42" t="s">
        <v>306</v>
      </c>
    </row>
    <row r="360" spans="1:14" x14ac:dyDescent="0.25">
      <c r="A360" s="38">
        <v>31</v>
      </c>
      <c r="B360" s="5" t="s">
        <v>56</v>
      </c>
      <c r="C360" s="29">
        <v>5.16</v>
      </c>
      <c r="D360" s="29">
        <v>5.57</v>
      </c>
      <c r="E360" s="29">
        <v>5.19</v>
      </c>
      <c r="F360" s="29">
        <v>4.83</v>
      </c>
      <c r="G360" s="29">
        <v>4.32</v>
      </c>
      <c r="H360" s="29">
        <v>4.13</v>
      </c>
      <c r="I360" s="29">
        <v>4.7699999999999996</v>
      </c>
      <c r="J360" s="29">
        <v>5.77</v>
      </c>
      <c r="K360" s="29">
        <v>6.1</v>
      </c>
      <c r="L360" s="29">
        <v>6.39</v>
      </c>
      <c r="M360" s="29">
        <v>5.9</v>
      </c>
      <c r="N360" s="44">
        <v>5</v>
      </c>
    </row>
    <row r="361" spans="1:14" x14ac:dyDescent="0.25">
      <c r="A361" s="171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72"/>
    </row>
    <row r="362" spans="1:14" ht="18.75" x14ac:dyDescent="0.25">
      <c r="A362" s="173" t="s">
        <v>309</v>
      </c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74"/>
    </row>
    <row r="363" spans="1:14" x14ac:dyDescent="0.25">
      <c r="A363" s="175" t="s">
        <v>292</v>
      </c>
      <c r="B363" s="150" t="s">
        <v>293</v>
      </c>
      <c r="C363" s="150" t="s">
        <v>1</v>
      </c>
      <c r="D363" s="150" t="s">
        <v>2</v>
      </c>
      <c r="E363" s="150" t="s">
        <v>310</v>
      </c>
      <c r="F363" s="150"/>
      <c r="G363" s="150"/>
      <c r="H363" s="150"/>
      <c r="I363" s="30"/>
      <c r="J363" s="30"/>
      <c r="K363" s="30"/>
      <c r="L363" s="30"/>
      <c r="M363" s="30"/>
      <c r="N363" s="42"/>
    </row>
    <row r="364" spans="1:14" x14ac:dyDescent="0.25">
      <c r="A364" s="175"/>
      <c r="B364" s="150"/>
      <c r="C364" s="150"/>
      <c r="D364" s="150"/>
      <c r="E364" s="30" t="s">
        <v>292</v>
      </c>
      <c r="F364" s="30" t="s">
        <v>293</v>
      </c>
      <c r="G364" s="30" t="s">
        <v>1</v>
      </c>
      <c r="H364" s="30" t="s">
        <v>2</v>
      </c>
      <c r="I364" s="30"/>
      <c r="J364" s="30"/>
      <c r="K364" s="30"/>
      <c r="L364" s="30"/>
      <c r="M364" s="30"/>
      <c r="N364" s="42"/>
    </row>
    <row r="365" spans="1:14" x14ac:dyDescent="0.25">
      <c r="A365" s="15" t="s">
        <v>55</v>
      </c>
      <c r="B365" s="5" t="s">
        <v>56</v>
      </c>
      <c r="C365" s="35">
        <v>-18.420000000000002</v>
      </c>
      <c r="D365" s="35">
        <v>-49.1</v>
      </c>
      <c r="E365" s="35"/>
      <c r="F365" s="35"/>
      <c r="G365" s="35"/>
      <c r="H365" s="35"/>
      <c r="I365" s="35"/>
      <c r="J365" s="35"/>
      <c r="K365" s="35"/>
      <c r="L365" s="35"/>
      <c r="M365" s="35"/>
      <c r="N365" s="46"/>
    </row>
    <row r="366" spans="1:14" x14ac:dyDescent="0.25">
      <c r="A366" s="171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72"/>
    </row>
    <row r="367" spans="1:14" ht="18.75" x14ac:dyDescent="0.25">
      <c r="A367" s="173" t="s">
        <v>311</v>
      </c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74"/>
    </row>
    <row r="368" spans="1:14" x14ac:dyDescent="0.25">
      <c r="A368" s="175" t="s">
        <v>292</v>
      </c>
      <c r="B368" s="150" t="s">
        <v>293</v>
      </c>
      <c r="C368" s="151" t="s">
        <v>312</v>
      </c>
      <c r="D368" s="152"/>
      <c r="E368" s="152"/>
      <c r="F368" s="153"/>
      <c r="G368" s="151" t="s">
        <v>313</v>
      </c>
      <c r="H368" s="152"/>
      <c r="I368" s="152"/>
      <c r="J368" s="153"/>
      <c r="K368" s="30"/>
      <c r="L368" s="30"/>
      <c r="M368" s="30"/>
      <c r="N368" s="42"/>
    </row>
    <row r="369" spans="1:14" x14ac:dyDescent="0.25">
      <c r="A369" s="175"/>
      <c r="B369" s="150"/>
      <c r="C369" s="154"/>
      <c r="D369" s="155"/>
      <c r="E369" s="155"/>
      <c r="F369" s="156"/>
      <c r="G369" s="154"/>
      <c r="H369" s="155"/>
      <c r="I369" s="155"/>
      <c r="J369" s="156"/>
      <c r="K369" s="30"/>
      <c r="L369" s="30"/>
      <c r="M369" s="30"/>
      <c r="N369" s="42"/>
    </row>
    <row r="370" spans="1:14" ht="15.75" thickBot="1" x14ac:dyDescent="0.3">
      <c r="A370" s="49"/>
      <c r="B370" s="50"/>
      <c r="C370" s="177"/>
      <c r="D370" s="177"/>
      <c r="E370" s="177"/>
      <c r="F370" s="177"/>
      <c r="G370" s="177"/>
      <c r="H370" s="177"/>
      <c r="I370" s="177"/>
      <c r="J370" s="177"/>
      <c r="K370" s="51"/>
      <c r="L370" s="51"/>
      <c r="M370" s="51"/>
      <c r="N370" s="52"/>
    </row>
    <row r="371" spans="1:14" ht="16.5" thickTop="1" thickBot="1" x14ac:dyDescent="0.3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</row>
    <row r="372" spans="1:14" ht="19.5" thickTop="1" x14ac:dyDescent="0.25">
      <c r="A372" s="178" t="s">
        <v>353</v>
      </c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80"/>
    </row>
    <row r="373" spans="1:14" x14ac:dyDescent="0.25">
      <c r="A373" s="171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72"/>
    </row>
    <row r="374" spans="1:14" ht="18.75" x14ac:dyDescent="0.25">
      <c r="A374" s="173" t="s">
        <v>291</v>
      </c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74"/>
    </row>
    <row r="375" spans="1:14" x14ac:dyDescent="0.25">
      <c r="A375" s="175" t="s">
        <v>292</v>
      </c>
      <c r="B375" s="150" t="s">
        <v>293</v>
      </c>
      <c r="C375" s="157" t="s">
        <v>294</v>
      </c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76"/>
    </row>
    <row r="376" spans="1:14" x14ac:dyDescent="0.25">
      <c r="A376" s="175"/>
      <c r="B376" s="150"/>
      <c r="C376" s="30" t="s">
        <v>295</v>
      </c>
      <c r="D376" s="30" t="s">
        <v>296</v>
      </c>
      <c r="E376" s="30" t="s">
        <v>297</v>
      </c>
      <c r="F376" s="30" t="s">
        <v>298</v>
      </c>
      <c r="G376" s="30" t="s">
        <v>299</v>
      </c>
      <c r="H376" s="30" t="s">
        <v>300</v>
      </c>
      <c r="I376" s="30" t="s">
        <v>301</v>
      </c>
      <c r="J376" s="30" t="s">
        <v>302</v>
      </c>
      <c r="K376" s="30" t="s">
        <v>303</v>
      </c>
      <c r="L376" s="30" t="s">
        <v>304</v>
      </c>
      <c r="M376" s="30" t="s">
        <v>305</v>
      </c>
      <c r="N376" s="42" t="s">
        <v>306</v>
      </c>
    </row>
    <row r="377" spans="1:14" x14ac:dyDescent="0.25">
      <c r="A377" s="38"/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43"/>
    </row>
    <row r="378" spans="1:14" x14ac:dyDescent="0.25">
      <c r="A378" s="171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72"/>
    </row>
    <row r="379" spans="1:14" x14ac:dyDescent="0.25">
      <c r="A379" s="175" t="s">
        <v>292</v>
      </c>
      <c r="B379" s="150" t="s">
        <v>293</v>
      </c>
      <c r="C379" s="157" t="s">
        <v>308</v>
      </c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76"/>
    </row>
    <row r="380" spans="1:14" x14ac:dyDescent="0.25">
      <c r="A380" s="175"/>
      <c r="B380" s="150"/>
      <c r="C380" s="30" t="s">
        <v>295</v>
      </c>
      <c r="D380" s="30" t="s">
        <v>296</v>
      </c>
      <c r="E380" s="30" t="s">
        <v>297</v>
      </c>
      <c r="F380" s="30" t="s">
        <v>298</v>
      </c>
      <c r="G380" s="30" t="s">
        <v>299</v>
      </c>
      <c r="H380" s="30" t="s">
        <v>300</v>
      </c>
      <c r="I380" s="30" t="s">
        <v>301</v>
      </c>
      <c r="J380" s="30" t="s">
        <v>302</v>
      </c>
      <c r="K380" s="30" t="s">
        <v>303</v>
      </c>
      <c r="L380" s="30" t="s">
        <v>304</v>
      </c>
      <c r="M380" s="30" t="s">
        <v>305</v>
      </c>
      <c r="N380" s="42" t="s">
        <v>306</v>
      </c>
    </row>
    <row r="381" spans="1:14" x14ac:dyDescent="0.25">
      <c r="A381" s="38">
        <v>60805100</v>
      </c>
      <c r="B381" s="5" t="s">
        <v>354</v>
      </c>
      <c r="C381" s="29">
        <v>5.29</v>
      </c>
      <c r="D381" s="29">
        <v>5.79</v>
      </c>
      <c r="E381" s="29">
        <v>5.35</v>
      </c>
      <c r="F381" s="29">
        <v>4.93</v>
      </c>
      <c r="G381" s="29">
        <v>4.42</v>
      </c>
      <c r="H381" s="29">
        <v>4.2300000000000004</v>
      </c>
      <c r="I381" s="29">
        <v>4.9400000000000004</v>
      </c>
      <c r="J381" s="29">
        <v>5.97</v>
      </c>
      <c r="K381" s="29">
        <v>6.23</v>
      </c>
      <c r="L381" s="29">
        <v>6.52</v>
      </c>
      <c r="M381" s="29">
        <v>6.07</v>
      </c>
      <c r="N381" s="44">
        <v>5.19</v>
      </c>
    </row>
    <row r="382" spans="1:14" x14ac:dyDescent="0.25">
      <c r="A382" s="171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72"/>
    </row>
    <row r="383" spans="1:14" ht="18.75" x14ac:dyDescent="0.25">
      <c r="A383" s="173" t="s">
        <v>309</v>
      </c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74"/>
    </row>
    <row r="384" spans="1:14" x14ac:dyDescent="0.25">
      <c r="A384" s="175" t="s">
        <v>292</v>
      </c>
      <c r="B384" s="150" t="s">
        <v>293</v>
      </c>
      <c r="C384" s="150" t="s">
        <v>1</v>
      </c>
      <c r="D384" s="150" t="s">
        <v>2</v>
      </c>
      <c r="E384" s="150" t="s">
        <v>310</v>
      </c>
      <c r="F384" s="150"/>
      <c r="G384" s="150"/>
      <c r="H384" s="150"/>
      <c r="I384" s="30"/>
      <c r="J384" s="30"/>
      <c r="K384" s="30"/>
      <c r="L384" s="30"/>
      <c r="M384" s="30"/>
      <c r="N384" s="42"/>
    </row>
    <row r="385" spans="1:14" x14ac:dyDescent="0.25">
      <c r="A385" s="175"/>
      <c r="B385" s="150"/>
      <c r="C385" s="150"/>
      <c r="D385" s="150"/>
      <c r="E385" s="30" t="s">
        <v>292</v>
      </c>
      <c r="F385" s="30" t="s">
        <v>293</v>
      </c>
      <c r="G385" s="30" t="s">
        <v>1</v>
      </c>
      <c r="H385" s="30" t="s">
        <v>2</v>
      </c>
      <c r="I385" s="30"/>
      <c r="J385" s="30"/>
      <c r="K385" s="30"/>
      <c r="L385" s="30"/>
      <c r="M385" s="30"/>
      <c r="N385" s="42"/>
    </row>
    <row r="386" spans="1:14" x14ac:dyDescent="0.25">
      <c r="A386" s="15" t="s">
        <v>59</v>
      </c>
      <c r="B386" s="5" t="s">
        <v>60</v>
      </c>
      <c r="C386" s="35">
        <v>-18.07</v>
      </c>
      <c r="D386" s="35">
        <v>-50.16</v>
      </c>
      <c r="E386" s="35"/>
      <c r="F386" s="26"/>
      <c r="G386" s="35"/>
      <c r="H386" s="35"/>
      <c r="I386" s="35"/>
      <c r="J386" s="35"/>
      <c r="K386" s="35"/>
      <c r="L386" s="35"/>
      <c r="M386" s="35"/>
      <c r="N386" s="46"/>
    </row>
    <row r="387" spans="1:14" x14ac:dyDescent="0.25">
      <c r="A387" s="171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72"/>
    </row>
    <row r="388" spans="1:14" ht="18.75" x14ac:dyDescent="0.25">
      <c r="A388" s="173" t="s">
        <v>311</v>
      </c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74"/>
    </row>
    <row r="389" spans="1:14" x14ac:dyDescent="0.25">
      <c r="A389" s="175" t="s">
        <v>292</v>
      </c>
      <c r="B389" s="150" t="s">
        <v>293</v>
      </c>
      <c r="C389" s="151" t="s">
        <v>312</v>
      </c>
      <c r="D389" s="152"/>
      <c r="E389" s="152"/>
      <c r="F389" s="153"/>
      <c r="G389" s="151" t="s">
        <v>313</v>
      </c>
      <c r="H389" s="152"/>
      <c r="I389" s="152"/>
      <c r="J389" s="153"/>
      <c r="K389" s="30"/>
      <c r="L389" s="30"/>
      <c r="M389" s="30"/>
      <c r="N389" s="42"/>
    </row>
    <row r="390" spans="1:14" x14ac:dyDescent="0.25">
      <c r="A390" s="175"/>
      <c r="B390" s="150"/>
      <c r="C390" s="154"/>
      <c r="D390" s="155"/>
      <c r="E390" s="155"/>
      <c r="F390" s="156"/>
      <c r="G390" s="154"/>
      <c r="H390" s="155"/>
      <c r="I390" s="155"/>
      <c r="J390" s="156"/>
      <c r="K390" s="30"/>
      <c r="L390" s="30"/>
      <c r="M390" s="30"/>
      <c r="N390" s="42"/>
    </row>
    <row r="391" spans="1:14" ht="15.75" thickBot="1" x14ac:dyDescent="0.3">
      <c r="A391" s="49"/>
      <c r="B391" s="50"/>
      <c r="C391" s="177"/>
      <c r="D391" s="177"/>
      <c r="E391" s="177"/>
      <c r="F391" s="177"/>
      <c r="G391" s="177"/>
      <c r="H391" s="177"/>
      <c r="I391" s="177"/>
      <c r="J391" s="177"/>
      <c r="K391" s="51"/>
      <c r="L391" s="51"/>
      <c r="M391" s="51"/>
      <c r="N391" s="52"/>
    </row>
    <row r="392" spans="1:14" ht="16.5" thickTop="1" thickBot="1" x14ac:dyDescent="0.3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</row>
    <row r="393" spans="1:14" ht="19.5" thickTop="1" x14ac:dyDescent="0.25">
      <c r="A393" s="178" t="s">
        <v>355</v>
      </c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80"/>
    </row>
    <row r="394" spans="1:14" x14ac:dyDescent="0.25">
      <c r="A394" s="171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72"/>
    </row>
    <row r="395" spans="1:14" ht="18.75" x14ac:dyDescent="0.25">
      <c r="A395" s="173" t="s">
        <v>291</v>
      </c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74"/>
    </row>
    <row r="396" spans="1:14" x14ac:dyDescent="0.25">
      <c r="A396" s="175" t="s">
        <v>292</v>
      </c>
      <c r="B396" s="150" t="s">
        <v>293</v>
      </c>
      <c r="C396" s="157" t="s">
        <v>294</v>
      </c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76"/>
    </row>
    <row r="397" spans="1:14" x14ac:dyDescent="0.25">
      <c r="A397" s="175"/>
      <c r="B397" s="150"/>
      <c r="C397" s="30" t="s">
        <v>295</v>
      </c>
      <c r="D397" s="30" t="s">
        <v>296</v>
      </c>
      <c r="E397" s="30" t="s">
        <v>297</v>
      </c>
      <c r="F397" s="30" t="s">
        <v>298</v>
      </c>
      <c r="G397" s="30" t="s">
        <v>299</v>
      </c>
      <c r="H397" s="30" t="s">
        <v>300</v>
      </c>
      <c r="I397" s="30" t="s">
        <v>301</v>
      </c>
      <c r="J397" s="30" t="s">
        <v>302</v>
      </c>
      <c r="K397" s="30" t="s">
        <v>303</v>
      </c>
      <c r="L397" s="30" t="s">
        <v>304</v>
      </c>
      <c r="M397" s="30" t="s">
        <v>305</v>
      </c>
      <c r="N397" s="42" t="s">
        <v>306</v>
      </c>
    </row>
    <row r="398" spans="1:14" x14ac:dyDescent="0.25">
      <c r="A398" s="38">
        <v>32</v>
      </c>
      <c r="B398" s="5" t="s">
        <v>356</v>
      </c>
      <c r="C398" s="6">
        <v>0.109</v>
      </c>
      <c r="D398" s="6">
        <v>0.109</v>
      </c>
      <c r="E398" s="6">
        <v>0.109</v>
      </c>
      <c r="F398" s="6">
        <v>0.109</v>
      </c>
      <c r="G398" s="6">
        <v>0.109</v>
      </c>
      <c r="H398" s="6">
        <v>0.109</v>
      </c>
      <c r="I398" s="6">
        <v>0.109</v>
      </c>
      <c r="J398" s="6">
        <v>0.109</v>
      </c>
      <c r="K398" s="6">
        <v>0.109</v>
      </c>
      <c r="L398" s="6">
        <v>0.109</v>
      </c>
      <c r="M398" s="6">
        <v>0.109</v>
      </c>
      <c r="N398" s="43">
        <v>0.109</v>
      </c>
    </row>
    <row r="399" spans="1:14" x14ac:dyDescent="0.25">
      <c r="A399" s="47">
        <v>33</v>
      </c>
      <c r="B399" s="3" t="s">
        <v>64</v>
      </c>
      <c r="C399" s="9">
        <v>0.89100000000000001</v>
      </c>
      <c r="D399" s="9">
        <v>0.89100000000000001</v>
      </c>
      <c r="E399" s="9">
        <v>0.89100000000000001</v>
      </c>
      <c r="F399" s="9">
        <v>0.89100000000000001</v>
      </c>
      <c r="G399" s="9">
        <v>0.89100000000000001</v>
      </c>
      <c r="H399" s="9">
        <v>0.89100000000000001</v>
      </c>
      <c r="I399" s="9">
        <v>0.89100000000000001</v>
      </c>
      <c r="J399" s="9">
        <v>0.89100000000000001</v>
      </c>
      <c r="K399" s="9">
        <v>0.89100000000000001</v>
      </c>
      <c r="L399" s="9">
        <v>0.89100000000000001</v>
      </c>
      <c r="M399" s="9">
        <v>0.89100000000000001</v>
      </c>
      <c r="N399" s="48">
        <v>0.89100000000000001</v>
      </c>
    </row>
    <row r="400" spans="1:14" x14ac:dyDescent="0.25">
      <c r="A400" s="171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72"/>
    </row>
    <row r="401" spans="1:14" x14ac:dyDescent="0.25">
      <c r="A401" s="175" t="s">
        <v>292</v>
      </c>
      <c r="B401" s="150" t="s">
        <v>293</v>
      </c>
      <c r="C401" s="157" t="s">
        <v>308</v>
      </c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76"/>
    </row>
    <row r="402" spans="1:14" x14ac:dyDescent="0.25">
      <c r="A402" s="175"/>
      <c r="B402" s="150"/>
      <c r="C402" s="30" t="s">
        <v>295</v>
      </c>
      <c r="D402" s="30" t="s">
        <v>296</v>
      </c>
      <c r="E402" s="30" t="s">
        <v>297</v>
      </c>
      <c r="F402" s="30" t="s">
        <v>298</v>
      </c>
      <c r="G402" s="30" t="s">
        <v>299</v>
      </c>
      <c r="H402" s="30" t="s">
        <v>300</v>
      </c>
      <c r="I402" s="30" t="s">
        <v>301</v>
      </c>
      <c r="J402" s="30" t="s">
        <v>302</v>
      </c>
      <c r="K402" s="30" t="s">
        <v>303</v>
      </c>
      <c r="L402" s="30" t="s">
        <v>304</v>
      </c>
      <c r="M402" s="30" t="s">
        <v>305</v>
      </c>
      <c r="N402" s="42" t="s">
        <v>306</v>
      </c>
    </row>
    <row r="403" spans="1:14" x14ac:dyDescent="0.25">
      <c r="A403" s="38">
        <v>33</v>
      </c>
      <c r="B403" s="5" t="s">
        <v>64</v>
      </c>
      <c r="C403" s="29">
        <v>5.45</v>
      </c>
      <c r="D403" s="29">
        <v>6.04</v>
      </c>
      <c r="E403" s="29">
        <v>5.48</v>
      </c>
      <c r="F403" s="29">
        <v>4.93</v>
      </c>
      <c r="G403" s="29">
        <v>4.42</v>
      </c>
      <c r="H403" s="29">
        <v>4.2300000000000004</v>
      </c>
      <c r="I403" s="29">
        <v>4.9400000000000004</v>
      </c>
      <c r="J403" s="29">
        <v>6</v>
      </c>
      <c r="K403" s="29">
        <v>6.23</v>
      </c>
      <c r="L403" s="29">
        <v>6.58</v>
      </c>
      <c r="M403" s="29">
        <v>6.3</v>
      </c>
      <c r="N403" s="44">
        <v>5.42</v>
      </c>
    </row>
    <row r="404" spans="1:14" x14ac:dyDescent="0.25">
      <c r="A404" s="171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72"/>
    </row>
    <row r="405" spans="1:14" ht="18.75" x14ac:dyDescent="0.25">
      <c r="A405" s="173" t="s">
        <v>309</v>
      </c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74"/>
    </row>
    <row r="406" spans="1:14" x14ac:dyDescent="0.25">
      <c r="A406" s="175" t="s">
        <v>292</v>
      </c>
      <c r="B406" s="150" t="s">
        <v>293</v>
      </c>
      <c r="C406" s="150" t="s">
        <v>1</v>
      </c>
      <c r="D406" s="150" t="s">
        <v>2</v>
      </c>
      <c r="E406" s="150" t="s">
        <v>310</v>
      </c>
      <c r="F406" s="150"/>
      <c r="G406" s="150"/>
      <c r="H406" s="150"/>
      <c r="I406" s="30"/>
      <c r="J406" s="30"/>
      <c r="K406" s="30"/>
      <c r="L406" s="30"/>
      <c r="M406" s="30"/>
      <c r="N406" s="42"/>
    </row>
    <row r="407" spans="1:14" x14ac:dyDescent="0.25">
      <c r="A407" s="175"/>
      <c r="B407" s="150"/>
      <c r="C407" s="150"/>
      <c r="D407" s="150"/>
      <c r="E407" s="30" t="s">
        <v>292</v>
      </c>
      <c r="F407" s="30" t="s">
        <v>293</v>
      </c>
      <c r="G407" s="30" t="s">
        <v>1</v>
      </c>
      <c r="H407" s="30" t="s">
        <v>2</v>
      </c>
      <c r="I407" s="30"/>
      <c r="J407" s="30"/>
      <c r="K407" s="30"/>
      <c r="L407" s="30"/>
      <c r="M407" s="30"/>
      <c r="N407" s="42"/>
    </row>
    <row r="408" spans="1:14" x14ac:dyDescent="0.25">
      <c r="A408" s="15" t="s">
        <v>63</v>
      </c>
      <c r="B408" s="5" t="s">
        <v>64</v>
      </c>
      <c r="C408" s="35">
        <v>-19.02</v>
      </c>
      <c r="D408" s="35">
        <v>-50.5</v>
      </c>
      <c r="E408" s="35"/>
      <c r="F408" s="35"/>
      <c r="G408" s="35"/>
      <c r="H408" s="35"/>
      <c r="I408" s="35"/>
      <c r="J408" s="35"/>
      <c r="K408" s="35"/>
      <c r="L408" s="35"/>
      <c r="M408" s="35"/>
      <c r="N408" s="46"/>
    </row>
    <row r="409" spans="1:14" x14ac:dyDescent="0.25">
      <c r="A409" s="171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72"/>
    </row>
    <row r="410" spans="1:14" ht="18.75" x14ac:dyDescent="0.25">
      <c r="A410" s="173" t="s">
        <v>311</v>
      </c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74"/>
    </row>
    <row r="411" spans="1:14" x14ac:dyDescent="0.25">
      <c r="A411" s="175" t="s">
        <v>292</v>
      </c>
      <c r="B411" s="150" t="s">
        <v>293</v>
      </c>
      <c r="C411" s="151" t="s">
        <v>312</v>
      </c>
      <c r="D411" s="152"/>
      <c r="E411" s="152"/>
      <c r="F411" s="153"/>
      <c r="G411" s="151" t="s">
        <v>313</v>
      </c>
      <c r="H411" s="152"/>
      <c r="I411" s="152"/>
      <c r="J411" s="153"/>
      <c r="K411" s="30"/>
      <c r="L411" s="30"/>
      <c r="M411" s="30"/>
      <c r="N411" s="42"/>
    </row>
    <row r="412" spans="1:14" x14ac:dyDescent="0.25">
      <c r="A412" s="175"/>
      <c r="B412" s="150"/>
      <c r="C412" s="154"/>
      <c r="D412" s="155"/>
      <c r="E412" s="155"/>
      <c r="F412" s="156"/>
      <c r="G412" s="154"/>
      <c r="H412" s="155"/>
      <c r="I412" s="155"/>
      <c r="J412" s="156"/>
      <c r="K412" s="30"/>
      <c r="L412" s="30"/>
      <c r="M412" s="30"/>
      <c r="N412" s="42"/>
    </row>
    <row r="413" spans="1:14" ht="15.75" thickBot="1" x14ac:dyDescent="0.3">
      <c r="A413" s="49">
        <v>60877080</v>
      </c>
      <c r="B413" s="50" t="s">
        <v>354</v>
      </c>
      <c r="C413" s="177" t="s">
        <v>64</v>
      </c>
      <c r="D413" s="177"/>
      <c r="E413" s="177"/>
      <c r="F413" s="177"/>
      <c r="G413" s="177">
        <v>8</v>
      </c>
      <c r="H413" s="177"/>
      <c r="I413" s="177"/>
      <c r="J413" s="177"/>
      <c r="K413" s="51"/>
      <c r="L413" s="51"/>
      <c r="M413" s="51"/>
      <c r="N413" s="52"/>
    </row>
    <row r="414" spans="1:14" ht="16.5" thickTop="1" thickBot="1" x14ac:dyDescent="0.3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</row>
    <row r="415" spans="1:14" ht="19.5" thickTop="1" x14ac:dyDescent="0.25">
      <c r="A415" s="178" t="s">
        <v>357</v>
      </c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80"/>
    </row>
    <row r="416" spans="1:14" x14ac:dyDescent="0.25">
      <c r="A416" s="171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72"/>
    </row>
    <row r="417" spans="1:14" ht="18.75" x14ac:dyDescent="0.25">
      <c r="A417" s="173" t="s">
        <v>291</v>
      </c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74"/>
    </row>
    <row r="418" spans="1:14" x14ac:dyDescent="0.25">
      <c r="A418" s="175" t="s">
        <v>292</v>
      </c>
      <c r="B418" s="150" t="s">
        <v>293</v>
      </c>
      <c r="C418" s="157" t="s">
        <v>294</v>
      </c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76"/>
    </row>
    <row r="419" spans="1:14" x14ac:dyDescent="0.25">
      <c r="A419" s="175"/>
      <c r="B419" s="15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42"/>
    </row>
    <row r="420" spans="1:14" x14ac:dyDescent="0.25">
      <c r="A420" s="87">
        <v>99</v>
      </c>
      <c r="B420" s="80" t="s">
        <v>116</v>
      </c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2"/>
    </row>
    <row r="421" spans="1:14" x14ac:dyDescent="0.25">
      <c r="A421" s="171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72"/>
    </row>
    <row r="422" spans="1:14" x14ac:dyDescent="0.25">
      <c r="A422" s="175" t="s">
        <v>292</v>
      </c>
      <c r="B422" s="150" t="s">
        <v>293</v>
      </c>
      <c r="C422" s="157" t="s">
        <v>308</v>
      </c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76"/>
    </row>
    <row r="423" spans="1:14" x14ac:dyDescent="0.25">
      <c r="A423" s="175"/>
      <c r="B423" s="150"/>
      <c r="C423" s="30" t="s">
        <v>295</v>
      </c>
      <c r="D423" s="30" t="s">
        <v>296</v>
      </c>
      <c r="E423" s="30" t="s">
        <v>297</v>
      </c>
      <c r="F423" s="30" t="s">
        <v>298</v>
      </c>
      <c r="G423" s="30" t="s">
        <v>299</v>
      </c>
      <c r="H423" s="30" t="s">
        <v>300</v>
      </c>
      <c r="I423" s="30" t="s">
        <v>301</v>
      </c>
      <c r="J423" s="30" t="s">
        <v>302</v>
      </c>
      <c r="K423" s="30" t="s">
        <v>303</v>
      </c>
      <c r="L423" s="30" t="s">
        <v>304</v>
      </c>
      <c r="M423" s="30" t="s">
        <v>305</v>
      </c>
      <c r="N423" s="42" t="s">
        <v>306</v>
      </c>
    </row>
    <row r="424" spans="1:14" x14ac:dyDescent="0.25">
      <c r="A424" s="87">
        <v>99</v>
      </c>
      <c r="B424" s="80" t="s">
        <v>116</v>
      </c>
      <c r="C424" s="85">
        <v>5.0999999999999996</v>
      </c>
      <c r="D424" s="85">
        <v>5.46</v>
      </c>
      <c r="E424" s="85">
        <v>4.97</v>
      </c>
      <c r="F424" s="85">
        <v>4.7699999999999996</v>
      </c>
      <c r="G424" s="85">
        <v>4.3899999999999997</v>
      </c>
      <c r="H424" s="85">
        <v>4.4000000000000004</v>
      </c>
      <c r="I424" s="85">
        <v>5.0999999999999996</v>
      </c>
      <c r="J424" s="85">
        <v>6.19</v>
      </c>
      <c r="K424" s="85">
        <v>6.03</v>
      </c>
      <c r="L424" s="85">
        <v>6.29</v>
      </c>
      <c r="M424" s="85">
        <v>5.87</v>
      </c>
      <c r="N424" s="86">
        <v>5.0599999999999996</v>
      </c>
    </row>
    <row r="425" spans="1:14" x14ac:dyDescent="0.25">
      <c r="A425" s="171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72"/>
    </row>
    <row r="426" spans="1:14" ht="18.75" x14ac:dyDescent="0.25">
      <c r="A426" s="173" t="s">
        <v>309</v>
      </c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74"/>
    </row>
    <row r="427" spans="1:14" x14ac:dyDescent="0.25">
      <c r="A427" s="175" t="s">
        <v>292</v>
      </c>
      <c r="B427" s="150" t="s">
        <v>293</v>
      </c>
      <c r="C427" s="150" t="s">
        <v>1</v>
      </c>
      <c r="D427" s="150" t="s">
        <v>2</v>
      </c>
      <c r="E427" s="150" t="s">
        <v>310</v>
      </c>
      <c r="F427" s="150"/>
      <c r="G427" s="150"/>
      <c r="H427" s="150"/>
      <c r="I427" s="30"/>
      <c r="J427" s="30"/>
      <c r="K427" s="30"/>
      <c r="L427" s="30"/>
      <c r="M427" s="30"/>
      <c r="N427" s="42"/>
    </row>
    <row r="428" spans="1:14" x14ac:dyDescent="0.25">
      <c r="A428" s="175"/>
      <c r="B428" s="150"/>
      <c r="C428" s="150"/>
      <c r="D428" s="150"/>
      <c r="E428" s="30" t="s">
        <v>292</v>
      </c>
      <c r="F428" s="30" t="s">
        <v>293</v>
      </c>
      <c r="G428" s="30" t="s">
        <v>1</v>
      </c>
      <c r="H428" s="30" t="s">
        <v>2</v>
      </c>
      <c r="I428" s="30"/>
      <c r="J428" s="30"/>
      <c r="K428" s="30"/>
      <c r="L428" s="30"/>
      <c r="M428" s="30"/>
      <c r="N428" s="42"/>
    </row>
    <row r="429" spans="1:14" x14ac:dyDescent="0.25">
      <c r="A429" s="15" t="s">
        <v>115</v>
      </c>
      <c r="B429" s="5" t="s">
        <v>116</v>
      </c>
      <c r="C429" s="35">
        <v>-18.68</v>
      </c>
      <c r="D429" s="35">
        <v>-51.87</v>
      </c>
      <c r="E429" s="73"/>
      <c r="F429" s="73"/>
      <c r="G429" s="73"/>
      <c r="H429" s="73"/>
      <c r="I429" s="73"/>
      <c r="J429" s="73"/>
      <c r="K429" s="73"/>
      <c r="L429" s="73"/>
      <c r="M429" s="73"/>
      <c r="N429" s="74"/>
    </row>
    <row r="430" spans="1:14" x14ac:dyDescent="0.25">
      <c r="A430" s="171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72"/>
    </row>
    <row r="431" spans="1:14" ht="18.75" x14ac:dyDescent="0.25">
      <c r="A431" s="173" t="s">
        <v>311</v>
      </c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74"/>
    </row>
    <row r="432" spans="1:14" x14ac:dyDescent="0.25">
      <c r="A432" s="175" t="s">
        <v>292</v>
      </c>
      <c r="B432" s="150" t="s">
        <v>293</v>
      </c>
      <c r="C432" s="151" t="s">
        <v>312</v>
      </c>
      <c r="D432" s="152"/>
      <c r="E432" s="152"/>
      <c r="F432" s="153"/>
      <c r="G432" s="151" t="s">
        <v>313</v>
      </c>
      <c r="H432" s="152"/>
      <c r="I432" s="152"/>
      <c r="J432" s="153"/>
      <c r="K432" s="30"/>
      <c r="L432" s="30"/>
      <c r="M432" s="30"/>
      <c r="N432" s="42"/>
    </row>
    <row r="433" spans="1:14" x14ac:dyDescent="0.25">
      <c r="A433" s="175"/>
      <c r="B433" s="150"/>
      <c r="C433" s="154"/>
      <c r="D433" s="155"/>
      <c r="E433" s="155"/>
      <c r="F433" s="156"/>
      <c r="G433" s="154"/>
      <c r="H433" s="155"/>
      <c r="I433" s="155"/>
      <c r="J433" s="156"/>
      <c r="K433" s="30"/>
      <c r="L433" s="30"/>
      <c r="M433" s="30"/>
      <c r="N433" s="42"/>
    </row>
    <row r="434" spans="1:14" ht="15.75" thickBot="1" x14ac:dyDescent="0.3">
      <c r="A434" s="76"/>
      <c r="B434" s="77"/>
      <c r="C434" s="181"/>
      <c r="D434" s="181"/>
      <c r="E434" s="181"/>
      <c r="F434" s="181"/>
      <c r="G434" s="181"/>
      <c r="H434" s="181"/>
      <c r="I434" s="181"/>
      <c r="J434" s="181"/>
      <c r="K434" s="78"/>
      <c r="L434" s="78"/>
      <c r="M434" s="78"/>
      <c r="N434" s="79"/>
    </row>
    <row r="435" spans="1:14" ht="16.5" thickTop="1" thickBot="1" x14ac:dyDescent="0.3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</row>
    <row r="436" spans="1:14" ht="19.5" thickTop="1" x14ac:dyDescent="0.25">
      <c r="A436" s="178" t="s">
        <v>358</v>
      </c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80"/>
    </row>
    <row r="437" spans="1:14" x14ac:dyDescent="0.25">
      <c r="A437" s="171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72"/>
    </row>
    <row r="438" spans="1:14" ht="18.75" x14ac:dyDescent="0.25">
      <c r="A438" s="173" t="s">
        <v>291</v>
      </c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74"/>
    </row>
    <row r="439" spans="1:14" x14ac:dyDescent="0.25">
      <c r="A439" s="175" t="s">
        <v>292</v>
      </c>
      <c r="B439" s="150" t="s">
        <v>293</v>
      </c>
      <c r="C439" s="157" t="s">
        <v>294</v>
      </c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76"/>
    </row>
    <row r="440" spans="1:14" x14ac:dyDescent="0.25">
      <c r="A440" s="175"/>
      <c r="B440" s="150"/>
      <c r="C440" s="30" t="s">
        <v>295</v>
      </c>
      <c r="D440" s="30" t="s">
        <v>296</v>
      </c>
      <c r="E440" s="30" t="s">
        <v>297</v>
      </c>
      <c r="F440" s="30" t="s">
        <v>298</v>
      </c>
      <c r="G440" s="30" t="s">
        <v>299</v>
      </c>
      <c r="H440" s="30" t="s">
        <v>300</v>
      </c>
      <c r="I440" s="30" t="s">
        <v>301</v>
      </c>
      <c r="J440" s="30" t="s">
        <v>302</v>
      </c>
      <c r="K440" s="30" t="s">
        <v>303</v>
      </c>
      <c r="L440" s="30" t="s">
        <v>304</v>
      </c>
      <c r="M440" s="30" t="s">
        <v>305</v>
      </c>
      <c r="N440" s="42" t="s">
        <v>306</v>
      </c>
    </row>
    <row r="441" spans="1:14" x14ac:dyDescent="0.25">
      <c r="A441" s="87">
        <v>248</v>
      </c>
      <c r="B441" s="80" t="s">
        <v>359</v>
      </c>
      <c r="C441" s="85">
        <v>3.6999999999999998E-2</v>
      </c>
      <c r="D441" s="85">
        <v>3.6999999999999998E-2</v>
      </c>
      <c r="E441" s="85">
        <v>3.6999999999999998E-2</v>
      </c>
      <c r="F441" s="85">
        <v>3.6999999999999998E-2</v>
      </c>
      <c r="G441" s="85">
        <v>3.6999999999999998E-2</v>
      </c>
      <c r="H441" s="85">
        <v>3.6999999999999998E-2</v>
      </c>
      <c r="I441" s="85">
        <v>3.6999999999999998E-2</v>
      </c>
      <c r="J441" s="85">
        <v>3.6999999999999998E-2</v>
      </c>
      <c r="K441" s="85">
        <v>3.6999999999999998E-2</v>
      </c>
      <c r="L441" s="85">
        <v>3.6999999999999998E-2</v>
      </c>
      <c r="M441" s="85">
        <v>3.6999999999999998E-2</v>
      </c>
      <c r="N441" s="85">
        <v>3.6999999999999998E-2</v>
      </c>
    </row>
    <row r="442" spans="1:14" x14ac:dyDescent="0.25">
      <c r="A442" s="89">
        <v>247</v>
      </c>
      <c r="B442" s="82" t="s">
        <v>360</v>
      </c>
      <c r="C442" s="88">
        <v>0.89400000000000002</v>
      </c>
      <c r="D442" s="88">
        <v>0.89400000000000002</v>
      </c>
      <c r="E442" s="88">
        <v>0.89400000000000002</v>
      </c>
      <c r="F442" s="88">
        <v>0.89400000000000002</v>
      </c>
      <c r="G442" s="88">
        <v>0.89400000000000002</v>
      </c>
      <c r="H442" s="88">
        <v>0.89400000000000002</v>
      </c>
      <c r="I442" s="88">
        <v>0.89400000000000002</v>
      </c>
      <c r="J442" s="88">
        <v>0.89400000000000002</v>
      </c>
      <c r="K442" s="88">
        <v>0.89400000000000002</v>
      </c>
      <c r="L442" s="88">
        <v>0.89400000000000002</v>
      </c>
      <c r="M442" s="88">
        <v>0.89400000000000002</v>
      </c>
      <c r="N442" s="88">
        <v>0.89400000000000002</v>
      </c>
    </row>
    <row r="443" spans="1:14" x14ac:dyDescent="0.25">
      <c r="A443" s="87">
        <v>261</v>
      </c>
      <c r="B443" s="80" t="s">
        <v>120</v>
      </c>
      <c r="C443" s="85">
        <v>6.9000000000000006E-2</v>
      </c>
      <c r="D443" s="85">
        <v>6.9000000000000006E-2</v>
      </c>
      <c r="E443" s="85">
        <v>6.9000000000000006E-2</v>
      </c>
      <c r="F443" s="85">
        <v>6.9000000000000006E-2</v>
      </c>
      <c r="G443" s="85">
        <v>6.9000000000000006E-2</v>
      </c>
      <c r="H443" s="85">
        <v>6.9000000000000006E-2</v>
      </c>
      <c r="I443" s="85">
        <v>6.9000000000000006E-2</v>
      </c>
      <c r="J443" s="85">
        <v>6.9000000000000006E-2</v>
      </c>
      <c r="K443" s="85">
        <v>6.9000000000000006E-2</v>
      </c>
      <c r="L443" s="85">
        <v>6.9000000000000006E-2</v>
      </c>
      <c r="M443" s="85">
        <v>6.9000000000000006E-2</v>
      </c>
      <c r="N443" s="85">
        <v>6.9000000000000006E-2</v>
      </c>
    </row>
    <row r="444" spans="1:14" x14ac:dyDescent="0.25">
      <c r="A444" s="171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72"/>
    </row>
    <row r="445" spans="1:14" x14ac:dyDescent="0.25">
      <c r="A445" s="175" t="s">
        <v>292</v>
      </c>
      <c r="B445" s="150" t="s">
        <v>293</v>
      </c>
      <c r="C445" s="157" t="s">
        <v>308</v>
      </c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76"/>
    </row>
    <row r="446" spans="1:14" x14ac:dyDescent="0.25">
      <c r="A446" s="175"/>
      <c r="B446" s="150"/>
      <c r="C446" s="30" t="s">
        <v>295</v>
      </c>
      <c r="D446" s="30" t="s">
        <v>296</v>
      </c>
      <c r="E446" s="30" t="s">
        <v>297</v>
      </c>
      <c r="F446" s="30" t="s">
        <v>298</v>
      </c>
      <c r="G446" s="30" t="s">
        <v>299</v>
      </c>
      <c r="H446" s="30" t="s">
        <v>300</v>
      </c>
      <c r="I446" s="30" t="s">
        <v>301</v>
      </c>
      <c r="J446" s="30" t="s">
        <v>302</v>
      </c>
      <c r="K446" s="30" t="s">
        <v>303</v>
      </c>
      <c r="L446" s="30" t="s">
        <v>304</v>
      </c>
      <c r="M446" s="30" t="s">
        <v>305</v>
      </c>
      <c r="N446" s="42" t="s">
        <v>306</v>
      </c>
    </row>
    <row r="447" spans="1:14" x14ac:dyDescent="0.25">
      <c r="A447" s="87">
        <v>261</v>
      </c>
      <c r="B447" s="80" t="s">
        <v>120</v>
      </c>
      <c r="C447" s="85">
        <v>5.42</v>
      </c>
      <c r="D447" s="85">
        <v>6</v>
      </c>
      <c r="E447" s="85">
        <v>5.45</v>
      </c>
      <c r="F447" s="85">
        <v>4.9000000000000004</v>
      </c>
      <c r="G447" s="85">
        <v>4.42</v>
      </c>
      <c r="H447" s="85">
        <v>4.2300000000000004</v>
      </c>
      <c r="I447" s="85">
        <v>4.97</v>
      </c>
      <c r="J447" s="85">
        <v>6.03</v>
      </c>
      <c r="K447" s="85">
        <v>6.23</v>
      </c>
      <c r="L447" s="85">
        <v>6.58</v>
      </c>
      <c r="M447" s="85">
        <v>6.3</v>
      </c>
      <c r="N447" s="85">
        <v>5.42</v>
      </c>
    </row>
    <row r="448" spans="1:14" x14ac:dyDescent="0.25">
      <c r="A448" s="171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72"/>
    </row>
    <row r="449" spans="1:14" ht="18.75" x14ac:dyDescent="0.25">
      <c r="A449" s="173" t="s">
        <v>309</v>
      </c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74"/>
    </row>
    <row r="450" spans="1:14" x14ac:dyDescent="0.25">
      <c r="A450" s="175" t="s">
        <v>292</v>
      </c>
      <c r="B450" s="150" t="s">
        <v>293</v>
      </c>
      <c r="C450" s="150" t="s">
        <v>1</v>
      </c>
      <c r="D450" s="150" t="s">
        <v>2</v>
      </c>
      <c r="E450" s="150" t="s">
        <v>310</v>
      </c>
      <c r="F450" s="150"/>
      <c r="G450" s="150"/>
      <c r="H450" s="150"/>
      <c r="I450" s="30"/>
      <c r="J450" s="30"/>
      <c r="K450" s="30"/>
      <c r="L450" s="30"/>
      <c r="M450" s="30"/>
      <c r="N450" s="42"/>
    </row>
    <row r="451" spans="1:14" x14ac:dyDescent="0.25">
      <c r="A451" s="175"/>
      <c r="B451" s="150"/>
      <c r="C451" s="150"/>
      <c r="D451" s="150"/>
      <c r="E451" s="30" t="s">
        <v>292</v>
      </c>
      <c r="F451" s="30" t="s">
        <v>293</v>
      </c>
      <c r="G451" s="30" t="s">
        <v>1</v>
      </c>
      <c r="H451" s="30" t="s">
        <v>2</v>
      </c>
      <c r="I451" s="30"/>
      <c r="J451" s="30"/>
      <c r="K451" s="30"/>
      <c r="L451" s="30"/>
      <c r="M451" s="30"/>
      <c r="N451" s="42"/>
    </row>
    <row r="452" spans="1:14" x14ac:dyDescent="0.25">
      <c r="A452" s="15" t="s">
        <v>119</v>
      </c>
      <c r="B452" s="5" t="s">
        <v>120</v>
      </c>
      <c r="C452" s="35">
        <v>-19.12</v>
      </c>
      <c r="D452" s="35">
        <v>-50.64</v>
      </c>
      <c r="E452" s="35"/>
      <c r="F452" s="35"/>
      <c r="G452" s="35"/>
      <c r="H452" s="35"/>
      <c r="I452" s="35"/>
      <c r="J452" s="35"/>
      <c r="K452" s="35"/>
      <c r="L452" s="35"/>
      <c r="M452" s="35"/>
      <c r="N452" s="46"/>
    </row>
    <row r="453" spans="1:14" x14ac:dyDescent="0.25">
      <c r="A453" s="171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72"/>
    </row>
    <row r="454" spans="1:14" ht="18.75" x14ac:dyDescent="0.25">
      <c r="A454" s="173" t="s">
        <v>311</v>
      </c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74"/>
    </row>
    <row r="455" spans="1:14" x14ac:dyDescent="0.25">
      <c r="A455" s="175" t="s">
        <v>292</v>
      </c>
      <c r="B455" s="150" t="s">
        <v>293</v>
      </c>
      <c r="C455" s="151" t="s">
        <v>312</v>
      </c>
      <c r="D455" s="152"/>
      <c r="E455" s="152"/>
      <c r="F455" s="153"/>
      <c r="G455" s="151" t="s">
        <v>313</v>
      </c>
      <c r="H455" s="152"/>
      <c r="I455" s="152"/>
      <c r="J455" s="153"/>
      <c r="K455" s="30"/>
      <c r="L455" s="30"/>
      <c r="M455" s="30"/>
      <c r="N455" s="42"/>
    </row>
    <row r="456" spans="1:14" x14ac:dyDescent="0.25">
      <c r="A456" s="175"/>
      <c r="B456" s="150"/>
      <c r="C456" s="154"/>
      <c r="D456" s="155"/>
      <c r="E456" s="155"/>
      <c r="F456" s="156"/>
      <c r="G456" s="154"/>
      <c r="H456" s="155"/>
      <c r="I456" s="155"/>
      <c r="J456" s="156"/>
      <c r="K456" s="30"/>
      <c r="L456" s="30"/>
      <c r="M456" s="30"/>
      <c r="N456" s="42"/>
    </row>
    <row r="457" spans="1:14" ht="15.75" thickBot="1" x14ac:dyDescent="0.3">
      <c r="A457" s="76"/>
      <c r="B457" s="77"/>
      <c r="C457" s="181"/>
      <c r="D457" s="181"/>
      <c r="E457" s="181"/>
      <c r="F457" s="181"/>
      <c r="G457" s="181"/>
      <c r="H457" s="181"/>
      <c r="I457" s="181"/>
      <c r="J457" s="181"/>
      <c r="K457" s="78"/>
      <c r="L457" s="78"/>
      <c r="M457" s="78"/>
      <c r="N457" s="79"/>
    </row>
    <row r="458" spans="1:14" ht="16.5" thickTop="1" thickBot="1" x14ac:dyDescent="0.3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</row>
    <row r="459" spans="1:14" ht="19.5" thickTop="1" x14ac:dyDescent="0.25">
      <c r="A459" s="178" t="s">
        <v>361</v>
      </c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80"/>
    </row>
    <row r="460" spans="1:14" x14ac:dyDescent="0.25">
      <c r="A460" s="171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72"/>
    </row>
    <row r="461" spans="1:14" ht="18.75" x14ac:dyDescent="0.25">
      <c r="A461" s="173" t="s">
        <v>291</v>
      </c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74"/>
    </row>
    <row r="462" spans="1:14" x14ac:dyDescent="0.25">
      <c r="A462" s="175" t="s">
        <v>292</v>
      </c>
      <c r="B462" s="150" t="s">
        <v>293</v>
      </c>
      <c r="C462" s="157" t="s">
        <v>294</v>
      </c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76"/>
    </row>
    <row r="463" spans="1:14" x14ac:dyDescent="0.25">
      <c r="A463" s="175"/>
      <c r="B463" s="150"/>
      <c r="C463" s="30" t="s">
        <v>295</v>
      </c>
      <c r="D463" s="30" t="s">
        <v>296</v>
      </c>
      <c r="E463" s="30" t="s">
        <v>297</v>
      </c>
      <c r="F463" s="30" t="s">
        <v>298</v>
      </c>
      <c r="G463" s="30" t="s">
        <v>299</v>
      </c>
      <c r="H463" s="30" t="s">
        <v>300</v>
      </c>
      <c r="I463" s="30" t="s">
        <v>301</v>
      </c>
      <c r="J463" s="30" t="s">
        <v>302</v>
      </c>
      <c r="K463" s="30" t="s">
        <v>303</v>
      </c>
      <c r="L463" s="30" t="s">
        <v>304</v>
      </c>
      <c r="M463" s="30" t="s">
        <v>305</v>
      </c>
      <c r="N463" s="42" t="s">
        <v>306</v>
      </c>
    </row>
    <row r="464" spans="1:14" x14ac:dyDescent="0.25">
      <c r="A464" s="87">
        <v>241</v>
      </c>
      <c r="B464" s="80" t="s">
        <v>362</v>
      </c>
      <c r="C464" s="85">
        <v>7.6999999999999999E-2</v>
      </c>
      <c r="D464" s="85">
        <v>7.6999999999999999E-2</v>
      </c>
      <c r="E464" s="85">
        <v>7.6999999999999999E-2</v>
      </c>
      <c r="F464" s="85">
        <v>7.6999999999999999E-2</v>
      </c>
      <c r="G464" s="85">
        <v>7.6999999999999999E-2</v>
      </c>
      <c r="H464" s="85">
        <v>7.6999999999999999E-2</v>
      </c>
      <c r="I464" s="85">
        <v>7.6999999999999999E-2</v>
      </c>
      <c r="J464" s="85">
        <v>7.6999999999999999E-2</v>
      </c>
      <c r="K464" s="85">
        <v>7.6999999999999999E-2</v>
      </c>
      <c r="L464" s="85">
        <v>7.6999999999999999E-2</v>
      </c>
      <c r="M464" s="85">
        <v>7.6999999999999999E-2</v>
      </c>
      <c r="N464" s="85">
        <v>7.6999999999999999E-2</v>
      </c>
    </row>
    <row r="465" spans="1:14" x14ac:dyDescent="0.25">
      <c r="A465" s="89">
        <v>294</v>
      </c>
      <c r="B465" s="82" t="s">
        <v>363</v>
      </c>
      <c r="C465" s="88">
        <v>0.92300000000000004</v>
      </c>
      <c r="D465" s="88">
        <v>0.92300000000000004</v>
      </c>
      <c r="E465" s="88">
        <v>0.92300000000000004</v>
      </c>
      <c r="F465" s="88">
        <v>0.92300000000000004</v>
      </c>
      <c r="G465" s="88">
        <v>0.92300000000000004</v>
      </c>
      <c r="H465" s="88">
        <v>0.92300000000000004</v>
      </c>
      <c r="I465" s="88">
        <v>0.92300000000000004</v>
      </c>
      <c r="J465" s="88">
        <v>0.92300000000000004</v>
      </c>
      <c r="K465" s="88">
        <v>0.92300000000000004</v>
      </c>
      <c r="L465" s="88">
        <v>0.92300000000000004</v>
      </c>
      <c r="M465" s="88">
        <v>0.92300000000000004</v>
      </c>
      <c r="N465" s="88">
        <v>0.92300000000000004</v>
      </c>
    </row>
    <row r="466" spans="1:14" x14ac:dyDescent="0.25">
      <c r="A466" s="171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72"/>
    </row>
    <row r="467" spans="1:14" x14ac:dyDescent="0.25">
      <c r="A467" s="175" t="s">
        <v>292</v>
      </c>
      <c r="B467" s="150" t="s">
        <v>293</v>
      </c>
      <c r="C467" s="157" t="s">
        <v>308</v>
      </c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76"/>
    </row>
    <row r="468" spans="1:14" x14ac:dyDescent="0.25">
      <c r="A468" s="175"/>
      <c r="B468" s="150"/>
      <c r="C468" s="30" t="s">
        <v>295</v>
      </c>
      <c r="D468" s="30" t="s">
        <v>296</v>
      </c>
      <c r="E468" s="30" t="s">
        <v>297</v>
      </c>
      <c r="F468" s="30" t="s">
        <v>298</v>
      </c>
      <c r="G468" s="30" t="s">
        <v>299</v>
      </c>
      <c r="H468" s="30" t="s">
        <v>300</v>
      </c>
      <c r="I468" s="30" t="s">
        <v>301</v>
      </c>
      <c r="J468" s="30" t="s">
        <v>302</v>
      </c>
      <c r="K468" s="30" t="s">
        <v>303</v>
      </c>
      <c r="L468" s="30" t="s">
        <v>304</v>
      </c>
      <c r="M468" s="30" t="s">
        <v>305</v>
      </c>
      <c r="N468" s="42" t="s">
        <v>306</v>
      </c>
    </row>
    <row r="469" spans="1:14" x14ac:dyDescent="0.25">
      <c r="A469" s="87">
        <v>241</v>
      </c>
      <c r="B469" s="80" t="s">
        <v>362</v>
      </c>
      <c r="C469" s="85">
        <v>5.48</v>
      </c>
      <c r="D469" s="85">
        <v>6.14</v>
      </c>
      <c r="E469" s="85">
        <v>5.52</v>
      </c>
      <c r="F469" s="85">
        <v>4.9000000000000004</v>
      </c>
      <c r="G469" s="85">
        <v>4.3899999999999997</v>
      </c>
      <c r="H469" s="85">
        <v>4.2</v>
      </c>
      <c r="I469" s="85">
        <v>4.9400000000000004</v>
      </c>
      <c r="J469" s="85">
        <v>6</v>
      </c>
      <c r="K469" s="85">
        <v>6.23</v>
      </c>
      <c r="L469" s="85">
        <v>6.65</v>
      </c>
      <c r="M469" s="85">
        <v>6.4</v>
      </c>
      <c r="N469" s="85">
        <v>5.48</v>
      </c>
    </row>
    <row r="470" spans="1:14" x14ac:dyDescent="0.25">
      <c r="A470" s="171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72"/>
    </row>
    <row r="471" spans="1:14" ht="18.75" x14ac:dyDescent="0.25">
      <c r="A471" s="173" t="s">
        <v>309</v>
      </c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74"/>
    </row>
    <row r="472" spans="1:14" x14ac:dyDescent="0.25">
      <c r="A472" s="175" t="s">
        <v>292</v>
      </c>
      <c r="B472" s="150" t="s">
        <v>293</v>
      </c>
      <c r="C472" s="150" t="s">
        <v>1</v>
      </c>
      <c r="D472" s="150" t="s">
        <v>2</v>
      </c>
      <c r="E472" s="150" t="s">
        <v>310</v>
      </c>
      <c r="F472" s="150"/>
      <c r="G472" s="150"/>
      <c r="H472" s="150"/>
      <c r="I472" s="30"/>
      <c r="J472" s="30"/>
      <c r="K472" s="30"/>
      <c r="L472" s="30"/>
      <c r="M472" s="30"/>
      <c r="N472" s="42"/>
    </row>
    <row r="473" spans="1:14" x14ac:dyDescent="0.25">
      <c r="A473" s="175"/>
      <c r="B473" s="150"/>
      <c r="C473" s="150"/>
      <c r="D473" s="150"/>
      <c r="E473" s="30" t="s">
        <v>292</v>
      </c>
      <c r="F473" s="30" t="s">
        <v>293</v>
      </c>
      <c r="G473" s="30" t="s">
        <v>1</v>
      </c>
      <c r="H473" s="30" t="s">
        <v>2</v>
      </c>
      <c r="I473" s="30"/>
      <c r="J473" s="30"/>
      <c r="K473" s="30"/>
      <c r="L473" s="30"/>
      <c r="M473" s="30"/>
      <c r="N473" s="42"/>
    </row>
    <row r="474" spans="1:14" x14ac:dyDescent="0.25">
      <c r="A474" s="15" t="s">
        <v>117</v>
      </c>
      <c r="B474" s="5" t="s">
        <v>118</v>
      </c>
      <c r="C474" s="35">
        <v>-19.16</v>
      </c>
      <c r="D474" s="35">
        <v>-50.76</v>
      </c>
      <c r="E474" s="81"/>
      <c r="F474" s="81"/>
      <c r="G474" s="73"/>
      <c r="H474" s="73"/>
      <c r="I474" s="73"/>
      <c r="J474" s="73"/>
      <c r="K474" s="73"/>
      <c r="L474" s="73"/>
      <c r="M474" s="73"/>
      <c r="N474" s="74"/>
    </row>
    <row r="475" spans="1:14" x14ac:dyDescent="0.25">
      <c r="A475" s="171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72"/>
    </row>
    <row r="476" spans="1:14" ht="18.75" x14ac:dyDescent="0.25">
      <c r="A476" s="173" t="s">
        <v>311</v>
      </c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74"/>
    </row>
    <row r="477" spans="1:14" x14ac:dyDescent="0.25">
      <c r="A477" s="175" t="s">
        <v>292</v>
      </c>
      <c r="B477" s="150" t="s">
        <v>293</v>
      </c>
      <c r="C477" s="151" t="s">
        <v>312</v>
      </c>
      <c r="D477" s="152"/>
      <c r="E477" s="152"/>
      <c r="F477" s="153"/>
      <c r="G477" s="151" t="s">
        <v>313</v>
      </c>
      <c r="H477" s="152"/>
      <c r="I477" s="152"/>
      <c r="J477" s="153"/>
      <c r="K477" s="30"/>
      <c r="L477" s="30"/>
      <c r="M477" s="30"/>
      <c r="N477" s="42"/>
    </row>
    <row r="478" spans="1:14" x14ac:dyDescent="0.25">
      <c r="A478" s="175"/>
      <c r="B478" s="150"/>
      <c r="C478" s="154"/>
      <c r="D478" s="155"/>
      <c r="E478" s="155"/>
      <c r="F478" s="156"/>
      <c r="G478" s="154"/>
      <c r="H478" s="155"/>
      <c r="I478" s="155"/>
      <c r="J478" s="156"/>
      <c r="K478" s="30"/>
      <c r="L478" s="30"/>
      <c r="M478" s="30"/>
      <c r="N478" s="42"/>
    </row>
    <row r="479" spans="1:14" ht="15.75" thickBot="1" x14ac:dyDescent="0.3">
      <c r="A479" s="76"/>
      <c r="B479" s="77"/>
      <c r="C479" s="181"/>
      <c r="D479" s="181"/>
      <c r="E479" s="181"/>
      <c r="F479" s="181"/>
      <c r="G479" s="181"/>
      <c r="H479" s="181"/>
      <c r="I479" s="181"/>
      <c r="J479" s="181"/>
      <c r="K479" s="78"/>
      <c r="L479" s="78"/>
      <c r="M479" s="78"/>
      <c r="N479" s="79"/>
    </row>
    <row r="480" spans="1:14" ht="15.75" thickTop="1" x14ac:dyDescent="0.25"/>
  </sheetData>
  <mergeCells count="572">
    <mergeCell ref="C479:F479"/>
    <mergeCell ref="G479:J479"/>
    <mergeCell ref="A471:N471"/>
    <mergeCell ref="A472:A473"/>
    <mergeCell ref="B472:B473"/>
    <mergeCell ref="C472:C473"/>
    <mergeCell ref="D472:D473"/>
    <mergeCell ref="E472:H472"/>
    <mergeCell ref="A475:N475"/>
    <mergeCell ref="A476:N476"/>
    <mergeCell ref="A477:A478"/>
    <mergeCell ref="B477:B478"/>
    <mergeCell ref="C477:F478"/>
    <mergeCell ref="G477:J478"/>
    <mergeCell ref="A461:N461"/>
    <mergeCell ref="A462:A463"/>
    <mergeCell ref="B462:B463"/>
    <mergeCell ref="C462:N462"/>
    <mergeCell ref="A466:N466"/>
    <mergeCell ref="A467:A468"/>
    <mergeCell ref="B467:B468"/>
    <mergeCell ref="C467:N467"/>
    <mergeCell ref="A470:N470"/>
    <mergeCell ref="A455:A456"/>
    <mergeCell ref="B455:B456"/>
    <mergeCell ref="C455:F456"/>
    <mergeCell ref="G455:J456"/>
    <mergeCell ref="C457:F457"/>
    <mergeCell ref="G457:J457"/>
    <mergeCell ref="A458:N458"/>
    <mergeCell ref="A459:N459"/>
    <mergeCell ref="A460:N460"/>
    <mergeCell ref="A448:N448"/>
    <mergeCell ref="A449:N449"/>
    <mergeCell ref="A450:A451"/>
    <mergeCell ref="B450:B451"/>
    <mergeCell ref="C450:C451"/>
    <mergeCell ref="D450:D451"/>
    <mergeCell ref="E450:H450"/>
    <mergeCell ref="A453:N453"/>
    <mergeCell ref="A454:N454"/>
    <mergeCell ref="A436:N436"/>
    <mergeCell ref="A437:N437"/>
    <mergeCell ref="A438:N438"/>
    <mergeCell ref="A439:A440"/>
    <mergeCell ref="B439:B440"/>
    <mergeCell ref="C439:N439"/>
    <mergeCell ref="A444:N444"/>
    <mergeCell ref="A445:A446"/>
    <mergeCell ref="B445:B446"/>
    <mergeCell ref="C445:N445"/>
    <mergeCell ref="A430:N430"/>
    <mergeCell ref="A431:N431"/>
    <mergeCell ref="A432:A433"/>
    <mergeCell ref="B432:B433"/>
    <mergeCell ref="C432:F433"/>
    <mergeCell ref="G432:J433"/>
    <mergeCell ref="C434:F434"/>
    <mergeCell ref="G434:J434"/>
    <mergeCell ref="A435:N435"/>
    <mergeCell ref="A421:N421"/>
    <mergeCell ref="A422:A423"/>
    <mergeCell ref="B422:B423"/>
    <mergeCell ref="C422:N422"/>
    <mergeCell ref="A425:N425"/>
    <mergeCell ref="A426:N426"/>
    <mergeCell ref="A427:A428"/>
    <mergeCell ref="B427:B428"/>
    <mergeCell ref="C427:C428"/>
    <mergeCell ref="D427:D428"/>
    <mergeCell ref="E427:H427"/>
    <mergeCell ref="C413:F413"/>
    <mergeCell ref="G413:J413"/>
    <mergeCell ref="A414:N414"/>
    <mergeCell ref="A415:N415"/>
    <mergeCell ref="A416:N416"/>
    <mergeCell ref="A417:N417"/>
    <mergeCell ref="A418:A419"/>
    <mergeCell ref="B418:B419"/>
    <mergeCell ref="C418:N418"/>
    <mergeCell ref="A405:N405"/>
    <mergeCell ref="A406:A407"/>
    <mergeCell ref="B406:B407"/>
    <mergeCell ref="C406:C407"/>
    <mergeCell ref="D406:D407"/>
    <mergeCell ref="E406:H406"/>
    <mergeCell ref="A409:N409"/>
    <mergeCell ref="A410:N410"/>
    <mergeCell ref="A411:A412"/>
    <mergeCell ref="B411:B412"/>
    <mergeCell ref="C411:F412"/>
    <mergeCell ref="G411:J412"/>
    <mergeCell ref="A395:N395"/>
    <mergeCell ref="A396:A397"/>
    <mergeCell ref="B396:B397"/>
    <mergeCell ref="C396:N396"/>
    <mergeCell ref="A400:N400"/>
    <mergeCell ref="A401:A402"/>
    <mergeCell ref="B401:B402"/>
    <mergeCell ref="C401:N401"/>
    <mergeCell ref="A404:N404"/>
    <mergeCell ref="A389:A390"/>
    <mergeCell ref="B389:B390"/>
    <mergeCell ref="C389:F390"/>
    <mergeCell ref="G389:J390"/>
    <mergeCell ref="C391:F391"/>
    <mergeCell ref="G391:J391"/>
    <mergeCell ref="A392:N392"/>
    <mergeCell ref="A393:N393"/>
    <mergeCell ref="A394:N394"/>
    <mergeCell ref="A382:N382"/>
    <mergeCell ref="A383:N383"/>
    <mergeCell ref="A384:A385"/>
    <mergeCell ref="B384:B385"/>
    <mergeCell ref="C384:C385"/>
    <mergeCell ref="D384:D385"/>
    <mergeCell ref="E384:H384"/>
    <mergeCell ref="A387:N387"/>
    <mergeCell ref="A388:N388"/>
    <mergeCell ref="A373:N373"/>
    <mergeCell ref="A374:N374"/>
    <mergeCell ref="A375:A376"/>
    <mergeCell ref="B375:B376"/>
    <mergeCell ref="C375:N375"/>
    <mergeCell ref="A378:N378"/>
    <mergeCell ref="A379:A380"/>
    <mergeCell ref="B379:B380"/>
    <mergeCell ref="C379:N379"/>
    <mergeCell ref="A367:N367"/>
    <mergeCell ref="A368:A369"/>
    <mergeCell ref="B368:B369"/>
    <mergeCell ref="C368:F369"/>
    <mergeCell ref="G368:J369"/>
    <mergeCell ref="C370:F370"/>
    <mergeCell ref="G370:J370"/>
    <mergeCell ref="A371:N371"/>
    <mergeCell ref="A372:N372"/>
    <mergeCell ref="A287:A288"/>
    <mergeCell ref="B287:B288"/>
    <mergeCell ref="C287:N287"/>
    <mergeCell ref="A291:N291"/>
    <mergeCell ref="A292:A293"/>
    <mergeCell ref="B292:B293"/>
    <mergeCell ref="C292:N292"/>
    <mergeCell ref="A295:N295"/>
    <mergeCell ref="A296:N296"/>
    <mergeCell ref="A366:N366"/>
    <mergeCell ref="A269:N269"/>
    <mergeCell ref="A270:A271"/>
    <mergeCell ref="B270:B271"/>
    <mergeCell ref="C270:N270"/>
    <mergeCell ref="A273:N273"/>
    <mergeCell ref="A274:N274"/>
    <mergeCell ref="A275:A276"/>
    <mergeCell ref="B275:B276"/>
    <mergeCell ref="C275:C276"/>
    <mergeCell ref="D275:D276"/>
    <mergeCell ref="E275:H275"/>
    <mergeCell ref="A278:N278"/>
    <mergeCell ref="A279:N279"/>
    <mergeCell ref="A280:A281"/>
    <mergeCell ref="B280:B281"/>
    <mergeCell ref="C280:F281"/>
    <mergeCell ref="A361:N361"/>
    <mergeCell ref="A357:N357"/>
    <mergeCell ref="A358:A359"/>
    <mergeCell ref="B358:B359"/>
    <mergeCell ref="C358:N358"/>
    <mergeCell ref="A362:N362"/>
    <mergeCell ref="A363:A364"/>
    <mergeCell ref="B363:B364"/>
    <mergeCell ref="C363:C364"/>
    <mergeCell ref="D363:D364"/>
    <mergeCell ref="E363:H363"/>
    <mergeCell ref="A348:N348"/>
    <mergeCell ref="A349:N349"/>
    <mergeCell ref="A350:N350"/>
    <mergeCell ref="A347:N347"/>
    <mergeCell ref="A351:A352"/>
    <mergeCell ref="B351:B352"/>
    <mergeCell ref="C351:N351"/>
    <mergeCell ref="C346:F346"/>
    <mergeCell ref="G346:J346"/>
    <mergeCell ref="A338:N338"/>
    <mergeCell ref="A330:A331"/>
    <mergeCell ref="B330:B331"/>
    <mergeCell ref="C330:N330"/>
    <mergeCell ref="A333:N333"/>
    <mergeCell ref="A334:A335"/>
    <mergeCell ref="B334:B335"/>
    <mergeCell ref="C334:N334"/>
    <mergeCell ref="A337:N337"/>
    <mergeCell ref="A343:N343"/>
    <mergeCell ref="A339:A340"/>
    <mergeCell ref="B339:B340"/>
    <mergeCell ref="C339:C340"/>
    <mergeCell ref="D339:D340"/>
    <mergeCell ref="E339:H339"/>
    <mergeCell ref="A342:N342"/>
    <mergeCell ref="A344:A345"/>
    <mergeCell ref="B344:B345"/>
    <mergeCell ref="C344:F345"/>
    <mergeCell ref="G344:J345"/>
    <mergeCell ref="A327:N327"/>
    <mergeCell ref="A328:N328"/>
    <mergeCell ref="A329:N329"/>
    <mergeCell ref="C325:F325"/>
    <mergeCell ref="G325:J325"/>
    <mergeCell ref="A326:N326"/>
    <mergeCell ref="A317:N317"/>
    <mergeCell ref="A322:N322"/>
    <mergeCell ref="A305:N305"/>
    <mergeCell ref="A306:N306"/>
    <mergeCell ref="A316:N316"/>
    <mergeCell ref="A318:A319"/>
    <mergeCell ref="B318:B319"/>
    <mergeCell ref="C318:C319"/>
    <mergeCell ref="D318:D319"/>
    <mergeCell ref="E318:H318"/>
    <mergeCell ref="A321:N321"/>
    <mergeCell ref="A323:A324"/>
    <mergeCell ref="B323:B324"/>
    <mergeCell ref="C323:F324"/>
    <mergeCell ref="G323:J324"/>
    <mergeCell ref="C304:F304"/>
    <mergeCell ref="G304:J304"/>
    <mergeCell ref="A307:N307"/>
    <mergeCell ref="A308:N308"/>
    <mergeCell ref="A309:A310"/>
    <mergeCell ref="B309:B310"/>
    <mergeCell ref="C309:N309"/>
    <mergeCell ref="A312:N312"/>
    <mergeCell ref="A313:A314"/>
    <mergeCell ref="B313:B314"/>
    <mergeCell ref="C313:N313"/>
    <mergeCell ref="A297:A298"/>
    <mergeCell ref="B297:B298"/>
    <mergeCell ref="C297:C298"/>
    <mergeCell ref="D297:D298"/>
    <mergeCell ref="E297:H297"/>
    <mergeCell ref="A300:N300"/>
    <mergeCell ref="A301:N301"/>
    <mergeCell ref="A302:A303"/>
    <mergeCell ref="B302:B303"/>
    <mergeCell ref="C302:F303"/>
    <mergeCell ref="G302:J303"/>
    <mergeCell ref="A283:N283"/>
    <mergeCell ref="A284:N284"/>
    <mergeCell ref="G280:J281"/>
    <mergeCell ref="C282:F282"/>
    <mergeCell ref="G282:J282"/>
    <mergeCell ref="A285:N285"/>
    <mergeCell ref="A286:N286"/>
    <mergeCell ref="A264:N264"/>
    <mergeCell ref="A265:A266"/>
    <mergeCell ref="B265:B266"/>
    <mergeCell ref="C265:N265"/>
    <mergeCell ref="A258:A259"/>
    <mergeCell ref="B258:B259"/>
    <mergeCell ref="C258:F259"/>
    <mergeCell ref="G258:J259"/>
    <mergeCell ref="C260:F260"/>
    <mergeCell ref="G260:J260"/>
    <mergeCell ref="A261:N261"/>
    <mergeCell ref="A262:N262"/>
    <mergeCell ref="A263:N263"/>
    <mergeCell ref="A251:N251"/>
    <mergeCell ref="A252:N252"/>
    <mergeCell ref="A253:A254"/>
    <mergeCell ref="B253:B254"/>
    <mergeCell ref="C253:C254"/>
    <mergeCell ref="D253:D254"/>
    <mergeCell ref="E253:H253"/>
    <mergeCell ref="A256:N256"/>
    <mergeCell ref="A257:N257"/>
    <mergeCell ref="A241:N241"/>
    <mergeCell ref="A242:N242"/>
    <mergeCell ref="A243:N243"/>
    <mergeCell ref="A244:A245"/>
    <mergeCell ref="B244:B245"/>
    <mergeCell ref="C244:N244"/>
    <mergeCell ref="A247:N247"/>
    <mergeCell ref="A248:A249"/>
    <mergeCell ref="B248:B249"/>
    <mergeCell ref="C248:N248"/>
    <mergeCell ref="A8:N8"/>
    <mergeCell ref="A9:A10"/>
    <mergeCell ref="B9:B10"/>
    <mergeCell ref="C9:N9"/>
    <mergeCell ref="A12:N12"/>
    <mergeCell ref="A13:N13"/>
    <mergeCell ref="A1:N1"/>
    <mergeCell ref="A2:N2"/>
    <mergeCell ref="A3:N3"/>
    <mergeCell ref="A4:A5"/>
    <mergeCell ref="B4:B5"/>
    <mergeCell ref="C4:N4"/>
    <mergeCell ref="A18:N18"/>
    <mergeCell ref="A19:A20"/>
    <mergeCell ref="B19:B20"/>
    <mergeCell ref="C19:F20"/>
    <mergeCell ref="G19:J20"/>
    <mergeCell ref="C21:F21"/>
    <mergeCell ref="G21:J21"/>
    <mergeCell ref="A14:A15"/>
    <mergeCell ref="B14:B15"/>
    <mergeCell ref="C14:C15"/>
    <mergeCell ref="D14:D15"/>
    <mergeCell ref="E14:H14"/>
    <mergeCell ref="A17:N17"/>
    <mergeCell ref="A29:N29"/>
    <mergeCell ref="A30:A31"/>
    <mergeCell ref="B30:B31"/>
    <mergeCell ref="C30:N30"/>
    <mergeCell ref="A33:N33"/>
    <mergeCell ref="A34:N34"/>
    <mergeCell ref="A22:N22"/>
    <mergeCell ref="A23:N23"/>
    <mergeCell ref="A24:N24"/>
    <mergeCell ref="A25:N25"/>
    <mergeCell ref="A26:A27"/>
    <mergeCell ref="B26:B27"/>
    <mergeCell ref="C26:N26"/>
    <mergeCell ref="A39:N39"/>
    <mergeCell ref="A40:A41"/>
    <mergeCell ref="B40:B41"/>
    <mergeCell ref="C40:F41"/>
    <mergeCell ref="G40:J41"/>
    <mergeCell ref="C42:F42"/>
    <mergeCell ref="G42:J42"/>
    <mergeCell ref="A35:A36"/>
    <mergeCell ref="B35:B36"/>
    <mergeCell ref="C35:C36"/>
    <mergeCell ref="D35:D36"/>
    <mergeCell ref="E35:H35"/>
    <mergeCell ref="A38:N38"/>
    <mergeCell ref="A50:N50"/>
    <mergeCell ref="A51:A52"/>
    <mergeCell ref="B51:B52"/>
    <mergeCell ref="C51:N51"/>
    <mergeCell ref="A54:N54"/>
    <mergeCell ref="A55:N55"/>
    <mergeCell ref="A43:N43"/>
    <mergeCell ref="A44:N44"/>
    <mergeCell ref="A45:N45"/>
    <mergeCell ref="A46:N46"/>
    <mergeCell ref="A47:A48"/>
    <mergeCell ref="B47:B48"/>
    <mergeCell ref="C47:N47"/>
    <mergeCell ref="A60:N60"/>
    <mergeCell ref="A61:A62"/>
    <mergeCell ref="B61:B62"/>
    <mergeCell ref="C61:F62"/>
    <mergeCell ref="G61:J62"/>
    <mergeCell ref="C63:F63"/>
    <mergeCell ref="G63:J63"/>
    <mergeCell ref="A56:A57"/>
    <mergeCell ref="B56:B57"/>
    <mergeCell ref="C56:C57"/>
    <mergeCell ref="D56:D57"/>
    <mergeCell ref="E56:H56"/>
    <mergeCell ref="A59:N59"/>
    <mergeCell ref="A69:A70"/>
    <mergeCell ref="B69:B70"/>
    <mergeCell ref="C69:N69"/>
    <mergeCell ref="A72:N72"/>
    <mergeCell ref="A73:A74"/>
    <mergeCell ref="B73:B74"/>
    <mergeCell ref="C73:N73"/>
    <mergeCell ref="C64:F64"/>
    <mergeCell ref="G64:J64"/>
    <mergeCell ref="A65:N65"/>
    <mergeCell ref="A66:N66"/>
    <mergeCell ref="A67:N67"/>
    <mergeCell ref="A68:N68"/>
    <mergeCell ref="A81:N81"/>
    <mergeCell ref="A82:N82"/>
    <mergeCell ref="A83:A84"/>
    <mergeCell ref="B83:B84"/>
    <mergeCell ref="C83:F84"/>
    <mergeCell ref="G83:J84"/>
    <mergeCell ref="A76:N76"/>
    <mergeCell ref="A77:N77"/>
    <mergeCell ref="A78:A79"/>
    <mergeCell ref="B78:B79"/>
    <mergeCell ref="C78:C79"/>
    <mergeCell ref="D78:D79"/>
    <mergeCell ref="E78:H78"/>
    <mergeCell ref="A90:A91"/>
    <mergeCell ref="B90:B91"/>
    <mergeCell ref="C90:N90"/>
    <mergeCell ref="A93:N93"/>
    <mergeCell ref="A94:A95"/>
    <mergeCell ref="B94:B95"/>
    <mergeCell ref="C94:N94"/>
    <mergeCell ref="C85:F85"/>
    <mergeCell ref="G85:J85"/>
    <mergeCell ref="A86:N86"/>
    <mergeCell ref="A87:N87"/>
    <mergeCell ref="A88:N88"/>
    <mergeCell ref="A89:N89"/>
    <mergeCell ref="A102:N102"/>
    <mergeCell ref="A103:N103"/>
    <mergeCell ref="A104:A105"/>
    <mergeCell ref="B104:B105"/>
    <mergeCell ref="C104:F105"/>
    <mergeCell ref="G104:J105"/>
    <mergeCell ref="A97:N97"/>
    <mergeCell ref="A98:N98"/>
    <mergeCell ref="A99:A100"/>
    <mergeCell ref="B99:B100"/>
    <mergeCell ref="C99:C100"/>
    <mergeCell ref="D99:D100"/>
    <mergeCell ref="E99:H99"/>
    <mergeCell ref="A111:A112"/>
    <mergeCell ref="B111:B112"/>
    <mergeCell ref="C111:N111"/>
    <mergeCell ref="A114:N114"/>
    <mergeCell ref="A115:A116"/>
    <mergeCell ref="B115:B116"/>
    <mergeCell ref="C115:N115"/>
    <mergeCell ref="C106:F106"/>
    <mergeCell ref="G106:J106"/>
    <mergeCell ref="A107:N107"/>
    <mergeCell ref="A108:N108"/>
    <mergeCell ref="A109:N109"/>
    <mergeCell ref="A110:N110"/>
    <mergeCell ref="A123:N123"/>
    <mergeCell ref="A124:N124"/>
    <mergeCell ref="A125:A126"/>
    <mergeCell ref="B125:B126"/>
    <mergeCell ref="C125:F126"/>
    <mergeCell ref="G125:J126"/>
    <mergeCell ref="A118:N118"/>
    <mergeCell ref="A119:N119"/>
    <mergeCell ref="A120:A121"/>
    <mergeCell ref="B120:B121"/>
    <mergeCell ref="C120:C121"/>
    <mergeCell ref="D120:D121"/>
    <mergeCell ref="E120:H120"/>
    <mergeCell ref="A132:A133"/>
    <mergeCell ref="B132:B133"/>
    <mergeCell ref="C132:N132"/>
    <mergeCell ref="A140:N140"/>
    <mergeCell ref="A141:A142"/>
    <mergeCell ref="B141:B142"/>
    <mergeCell ref="C141:N141"/>
    <mergeCell ref="C127:F127"/>
    <mergeCell ref="G127:J127"/>
    <mergeCell ref="A128:N128"/>
    <mergeCell ref="A129:N129"/>
    <mergeCell ref="A130:N130"/>
    <mergeCell ref="A131:N131"/>
    <mergeCell ref="A149:N149"/>
    <mergeCell ref="A150:N150"/>
    <mergeCell ref="A151:A152"/>
    <mergeCell ref="B151:B152"/>
    <mergeCell ref="C151:F152"/>
    <mergeCell ref="G151:J152"/>
    <mergeCell ref="A144:N144"/>
    <mergeCell ref="A145:N145"/>
    <mergeCell ref="A146:A147"/>
    <mergeCell ref="B146:B147"/>
    <mergeCell ref="C146:C147"/>
    <mergeCell ref="D146:D147"/>
    <mergeCell ref="E146:H146"/>
    <mergeCell ref="A158:A159"/>
    <mergeCell ref="B158:B159"/>
    <mergeCell ref="C158:N158"/>
    <mergeCell ref="A162:N162"/>
    <mergeCell ref="A163:A164"/>
    <mergeCell ref="B163:B164"/>
    <mergeCell ref="C163:N163"/>
    <mergeCell ref="C153:F153"/>
    <mergeCell ref="G153:J153"/>
    <mergeCell ref="A154:N154"/>
    <mergeCell ref="A155:N155"/>
    <mergeCell ref="A156:N156"/>
    <mergeCell ref="A157:N157"/>
    <mergeCell ref="A171:N171"/>
    <mergeCell ref="A172:N172"/>
    <mergeCell ref="A173:A174"/>
    <mergeCell ref="B173:B174"/>
    <mergeCell ref="C173:F174"/>
    <mergeCell ref="G173:J174"/>
    <mergeCell ref="A166:N166"/>
    <mergeCell ref="A167:N167"/>
    <mergeCell ref="A168:A169"/>
    <mergeCell ref="B168:B169"/>
    <mergeCell ref="C168:C169"/>
    <mergeCell ref="D168:D169"/>
    <mergeCell ref="E168:H168"/>
    <mergeCell ref="A180:A181"/>
    <mergeCell ref="B180:B181"/>
    <mergeCell ref="C180:N180"/>
    <mergeCell ref="A184:N184"/>
    <mergeCell ref="A185:A186"/>
    <mergeCell ref="B185:B186"/>
    <mergeCell ref="C185:N185"/>
    <mergeCell ref="C175:F175"/>
    <mergeCell ref="G175:J175"/>
    <mergeCell ref="A176:N176"/>
    <mergeCell ref="A177:N177"/>
    <mergeCell ref="A178:N178"/>
    <mergeCell ref="A179:N179"/>
    <mergeCell ref="A193:N193"/>
    <mergeCell ref="A194:N194"/>
    <mergeCell ref="A195:A196"/>
    <mergeCell ref="B195:B196"/>
    <mergeCell ref="C195:F196"/>
    <mergeCell ref="G195:J196"/>
    <mergeCell ref="A188:N188"/>
    <mergeCell ref="A189:N189"/>
    <mergeCell ref="A190:A191"/>
    <mergeCell ref="B190:B191"/>
    <mergeCell ref="C190:C191"/>
    <mergeCell ref="D190:D191"/>
    <mergeCell ref="E190:H190"/>
    <mergeCell ref="A202:A203"/>
    <mergeCell ref="B202:B203"/>
    <mergeCell ref="C202:N202"/>
    <mergeCell ref="A205:N205"/>
    <mergeCell ref="A206:A207"/>
    <mergeCell ref="B206:B207"/>
    <mergeCell ref="C206:N206"/>
    <mergeCell ref="C197:F197"/>
    <mergeCell ref="G197:J197"/>
    <mergeCell ref="A198:N198"/>
    <mergeCell ref="A199:N199"/>
    <mergeCell ref="A200:N200"/>
    <mergeCell ref="A201:N201"/>
    <mergeCell ref="A214:N214"/>
    <mergeCell ref="A215:N215"/>
    <mergeCell ref="A216:A217"/>
    <mergeCell ref="B216:B217"/>
    <mergeCell ref="C216:F217"/>
    <mergeCell ref="G216:J217"/>
    <mergeCell ref="A209:N209"/>
    <mergeCell ref="A210:N210"/>
    <mergeCell ref="A211:A212"/>
    <mergeCell ref="B211:B212"/>
    <mergeCell ref="C211:C212"/>
    <mergeCell ref="D211:D212"/>
    <mergeCell ref="E211:H211"/>
    <mergeCell ref="A223:A224"/>
    <mergeCell ref="B223:B224"/>
    <mergeCell ref="C223:N223"/>
    <mergeCell ref="A226:N226"/>
    <mergeCell ref="A227:A228"/>
    <mergeCell ref="B227:B228"/>
    <mergeCell ref="C227:N227"/>
    <mergeCell ref="C218:F218"/>
    <mergeCell ref="G218:J218"/>
    <mergeCell ref="A219:N219"/>
    <mergeCell ref="A220:N220"/>
    <mergeCell ref="A221:N221"/>
    <mergeCell ref="A222:N222"/>
    <mergeCell ref="C239:F239"/>
    <mergeCell ref="G239:J239"/>
    <mergeCell ref="A235:N235"/>
    <mergeCell ref="A236:N236"/>
    <mergeCell ref="A237:A238"/>
    <mergeCell ref="B237:B238"/>
    <mergeCell ref="C237:F238"/>
    <mergeCell ref="G237:J238"/>
    <mergeCell ref="A230:N230"/>
    <mergeCell ref="A231:N231"/>
    <mergeCell ref="A232:A233"/>
    <mergeCell ref="B232:B233"/>
    <mergeCell ref="C232:C233"/>
    <mergeCell ref="D232:D233"/>
    <mergeCell ref="E232:H23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O437"/>
  <sheetViews>
    <sheetView topLeftCell="A32" zoomScale="85" zoomScaleNormal="85" workbookViewId="0">
      <selection activeCell="S370" sqref="S370"/>
    </sheetView>
  </sheetViews>
  <sheetFormatPr defaultColWidth="9.140625" defaultRowHeight="15" x14ac:dyDescent="0.25"/>
  <cols>
    <col min="1" max="1" width="10.7109375" style="32" customWidth="1"/>
    <col min="2" max="2" width="26.7109375" style="1" bestFit="1" customWidth="1"/>
    <col min="3" max="14" width="9.140625" style="32"/>
    <col min="15" max="16384" width="9.140625" style="1"/>
  </cols>
  <sheetData>
    <row r="1" spans="1:15" ht="15.75" thickTop="1" x14ac:dyDescent="0.25">
      <c r="A1" s="190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2"/>
      <c r="O1" s="37"/>
    </row>
    <row r="2" spans="1:15" ht="18.75" x14ac:dyDescent="0.25">
      <c r="A2" s="193" t="s">
        <v>364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37"/>
    </row>
    <row r="3" spans="1:15" x14ac:dyDescent="0.25">
      <c r="A3" s="189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37"/>
    </row>
    <row r="4" spans="1:15" ht="18.75" x14ac:dyDescent="0.25">
      <c r="A4" s="186" t="s">
        <v>291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37"/>
    </row>
    <row r="5" spans="1:15" x14ac:dyDescent="0.25">
      <c r="A5" s="187" t="s">
        <v>292</v>
      </c>
      <c r="B5" s="150" t="s">
        <v>293</v>
      </c>
      <c r="C5" s="157" t="s">
        <v>294</v>
      </c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37"/>
    </row>
    <row r="6" spans="1:15" x14ac:dyDescent="0.25">
      <c r="A6" s="187"/>
      <c r="B6" s="150"/>
      <c r="C6" s="30" t="s">
        <v>295</v>
      </c>
      <c r="D6" s="30" t="s">
        <v>296</v>
      </c>
      <c r="E6" s="30" t="s">
        <v>297</v>
      </c>
      <c r="F6" s="30" t="s">
        <v>298</v>
      </c>
      <c r="G6" s="30" t="s">
        <v>299</v>
      </c>
      <c r="H6" s="30" t="s">
        <v>300</v>
      </c>
      <c r="I6" s="30" t="s">
        <v>301</v>
      </c>
      <c r="J6" s="30" t="s">
        <v>302</v>
      </c>
      <c r="K6" s="30" t="s">
        <v>303</v>
      </c>
      <c r="L6" s="30" t="s">
        <v>304</v>
      </c>
      <c r="M6" s="30" t="s">
        <v>305</v>
      </c>
      <c r="N6" s="31" t="s">
        <v>306</v>
      </c>
      <c r="O6" s="37"/>
    </row>
    <row r="7" spans="1:15" x14ac:dyDescent="0.25">
      <c r="A7" s="38">
        <v>57</v>
      </c>
      <c r="B7" s="5" t="s">
        <v>74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7"/>
    </row>
    <row r="8" spans="1:15" x14ac:dyDescent="0.25">
      <c r="A8" s="189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37"/>
    </row>
    <row r="9" spans="1:15" x14ac:dyDescent="0.25">
      <c r="A9" s="187" t="s">
        <v>292</v>
      </c>
      <c r="B9" s="150" t="s">
        <v>293</v>
      </c>
      <c r="C9" s="157" t="s">
        <v>308</v>
      </c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37"/>
    </row>
    <row r="10" spans="1:15" x14ac:dyDescent="0.25">
      <c r="A10" s="187"/>
      <c r="B10" s="150"/>
      <c r="C10" s="30" t="s">
        <v>295</v>
      </c>
      <c r="D10" s="30" t="s">
        <v>296</v>
      </c>
      <c r="E10" s="30" t="s">
        <v>297</v>
      </c>
      <c r="F10" s="30" t="s">
        <v>298</v>
      </c>
      <c r="G10" s="30" t="s">
        <v>299</v>
      </c>
      <c r="H10" s="30" t="s">
        <v>300</v>
      </c>
      <c r="I10" s="30" t="s">
        <v>301</v>
      </c>
      <c r="J10" s="30" t="s">
        <v>302</v>
      </c>
      <c r="K10" s="30" t="s">
        <v>303</v>
      </c>
      <c r="L10" s="30" t="s">
        <v>304</v>
      </c>
      <c r="M10" s="30" t="s">
        <v>305</v>
      </c>
      <c r="N10" s="31" t="s">
        <v>306</v>
      </c>
      <c r="O10" s="37"/>
    </row>
    <row r="11" spans="1:15" x14ac:dyDescent="0.25">
      <c r="A11" s="38">
        <v>57</v>
      </c>
      <c r="B11" s="5" t="s">
        <v>74</v>
      </c>
      <c r="C11" s="29">
        <v>5.55</v>
      </c>
      <c r="D11" s="29">
        <v>5.25</v>
      </c>
      <c r="E11" s="29">
        <v>4.87</v>
      </c>
      <c r="F11" s="29">
        <v>4.17</v>
      </c>
      <c r="G11" s="29">
        <v>3.03</v>
      </c>
      <c r="H11" s="29">
        <v>2.5299999999999998</v>
      </c>
      <c r="I11" s="29">
        <v>2.84</v>
      </c>
      <c r="J11" s="29">
        <v>3.65</v>
      </c>
      <c r="K11" s="29">
        <v>4.0999999999999996</v>
      </c>
      <c r="L11" s="29">
        <v>4.84</v>
      </c>
      <c r="M11" s="29">
        <v>5.57</v>
      </c>
      <c r="N11" s="29">
        <v>5.58</v>
      </c>
      <c r="O11" s="37"/>
    </row>
    <row r="12" spans="1:15" x14ac:dyDescent="0.25">
      <c r="A12" s="189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37"/>
    </row>
    <row r="13" spans="1:15" ht="18.75" x14ac:dyDescent="0.25">
      <c r="A13" s="186" t="s">
        <v>309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37"/>
    </row>
    <row r="14" spans="1:15" x14ac:dyDescent="0.25">
      <c r="A14" s="187" t="s">
        <v>292</v>
      </c>
      <c r="B14" s="150" t="s">
        <v>293</v>
      </c>
      <c r="C14" s="150" t="s">
        <v>1</v>
      </c>
      <c r="D14" s="150" t="s">
        <v>2</v>
      </c>
      <c r="E14" s="150" t="s">
        <v>310</v>
      </c>
      <c r="F14" s="150"/>
      <c r="G14" s="150"/>
      <c r="H14" s="150"/>
      <c r="I14" s="30"/>
      <c r="J14" s="30"/>
      <c r="K14" s="30"/>
      <c r="L14" s="30"/>
      <c r="M14" s="30"/>
      <c r="N14" s="31"/>
      <c r="O14" s="37"/>
    </row>
    <row r="15" spans="1:15" x14ac:dyDescent="0.25">
      <c r="A15" s="187"/>
      <c r="B15" s="150"/>
      <c r="C15" s="150"/>
      <c r="D15" s="150"/>
      <c r="E15" s="30" t="s">
        <v>292</v>
      </c>
      <c r="F15" s="30" t="s">
        <v>293</v>
      </c>
      <c r="G15" s="30" t="s">
        <v>1</v>
      </c>
      <c r="H15" s="30" t="s">
        <v>2</v>
      </c>
      <c r="I15" s="30"/>
      <c r="J15" s="30"/>
      <c r="K15" s="30"/>
      <c r="L15" s="30"/>
      <c r="M15" s="30"/>
      <c r="N15" s="31"/>
      <c r="O15" s="37"/>
    </row>
    <row r="16" spans="1:15" x14ac:dyDescent="0.25">
      <c r="A16" s="15" t="s">
        <v>73</v>
      </c>
      <c r="B16" s="5" t="s">
        <v>74</v>
      </c>
      <c r="C16" s="35">
        <v>-24.06</v>
      </c>
      <c r="D16" s="35">
        <v>-50.71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7"/>
    </row>
    <row r="17" spans="1:15" x14ac:dyDescent="0.25">
      <c r="A17" s="189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37"/>
    </row>
    <row r="18" spans="1:15" ht="18.75" x14ac:dyDescent="0.25">
      <c r="A18" s="186" t="s">
        <v>311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37"/>
    </row>
    <row r="19" spans="1:15" x14ac:dyDescent="0.25">
      <c r="A19" s="187" t="s">
        <v>292</v>
      </c>
      <c r="B19" s="150" t="s">
        <v>293</v>
      </c>
      <c r="C19" s="151" t="s">
        <v>312</v>
      </c>
      <c r="D19" s="152"/>
      <c r="E19" s="152"/>
      <c r="F19" s="153"/>
      <c r="G19" s="151" t="s">
        <v>313</v>
      </c>
      <c r="H19" s="152"/>
      <c r="I19" s="152"/>
      <c r="J19" s="153"/>
      <c r="K19" s="30"/>
      <c r="L19" s="30"/>
      <c r="M19" s="30"/>
      <c r="N19" s="31"/>
      <c r="O19" s="37"/>
    </row>
    <row r="20" spans="1:15" x14ac:dyDescent="0.25">
      <c r="A20" s="187"/>
      <c r="B20" s="150"/>
      <c r="C20" s="154"/>
      <c r="D20" s="155"/>
      <c r="E20" s="155"/>
      <c r="F20" s="156"/>
      <c r="G20" s="154"/>
      <c r="H20" s="155"/>
      <c r="I20" s="155"/>
      <c r="J20" s="156"/>
      <c r="K20" s="30"/>
      <c r="L20" s="30"/>
      <c r="M20" s="30"/>
      <c r="N20" s="31"/>
      <c r="O20" s="37"/>
    </row>
    <row r="21" spans="1:15" ht="15.75" thickBot="1" x14ac:dyDescent="0.3">
      <c r="A21" s="41"/>
      <c r="B21" s="28"/>
      <c r="C21" s="188"/>
      <c r="D21" s="188"/>
      <c r="E21" s="188"/>
      <c r="F21" s="188"/>
      <c r="G21" s="188"/>
      <c r="H21" s="188"/>
      <c r="I21" s="188"/>
      <c r="J21" s="188"/>
      <c r="K21" s="27"/>
      <c r="L21" s="27"/>
      <c r="M21" s="27"/>
      <c r="N21" s="27"/>
      <c r="O21" s="37"/>
    </row>
    <row r="22" spans="1:15" ht="16.5" thickTop="1" thickBot="1" x14ac:dyDescent="0.3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</row>
    <row r="23" spans="1:15" ht="19.5" thickTop="1" x14ac:dyDescent="0.25">
      <c r="A23" s="178" t="s">
        <v>365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80"/>
    </row>
    <row r="24" spans="1:15" x14ac:dyDescent="0.25">
      <c r="A24" s="171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72"/>
    </row>
    <row r="25" spans="1:15" ht="18.75" x14ac:dyDescent="0.25">
      <c r="A25" s="173" t="s">
        <v>291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74"/>
    </row>
    <row r="26" spans="1:15" x14ac:dyDescent="0.25">
      <c r="A26" s="175" t="s">
        <v>292</v>
      </c>
      <c r="B26" s="150" t="s">
        <v>293</v>
      </c>
      <c r="C26" s="157" t="s">
        <v>294</v>
      </c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76"/>
    </row>
    <row r="27" spans="1:15" x14ac:dyDescent="0.25">
      <c r="A27" s="175"/>
      <c r="B27" s="150"/>
      <c r="C27" s="30" t="s">
        <v>295</v>
      </c>
      <c r="D27" s="30" t="s">
        <v>296</v>
      </c>
      <c r="E27" s="30" t="s">
        <v>297</v>
      </c>
      <c r="F27" s="30" t="s">
        <v>298</v>
      </c>
      <c r="G27" s="30" t="s">
        <v>299</v>
      </c>
      <c r="H27" s="30" t="s">
        <v>300</v>
      </c>
      <c r="I27" s="30" t="s">
        <v>301</v>
      </c>
      <c r="J27" s="30" t="s">
        <v>302</v>
      </c>
      <c r="K27" s="30" t="s">
        <v>303</v>
      </c>
      <c r="L27" s="30" t="s">
        <v>304</v>
      </c>
      <c r="M27" s="30" t="s">
        <v>305</v>
      </c>
      <c r="N27" s="42" t="s">
        <v>306</v>
      </c>
    </row>
    <row r="28" spans="1:15" x14ac:dyDescent="0.25">
      <c r="A28" s="38">
        <v>47</v>
      </c>
      <c r="B28" s="5" t="s">
        <v>72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43"/>
    </row>
    <row r="29" spans="1:15" x14ac:dyDescent="0.25">
      <c r="A29" s="171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72"/>
    </row>
    <row r="30" spans="1:15" x14ac:dyDescent="0.25">
      <c r="A30" s="175" t="s">
        <v>292</v>
      </c>
      <c r="B30" s="150" t="s">
        <v>293</v>
      </c>
      <c r="C30" s="157" t="s">
        <v>308</v>
      </c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76"/>
    </row>
    <row r="31" spans="1:15" x14ac:dyDescent="0.25">
      <c r="A31" s="175"/>
      <c r="B31" s="150"/>
      <c r="C31" s="30" t="s">
        <v>295</v>
      </c>
      <c r="D31" s="30" t="s">
        <v>296</v>
      </c>
      <c r="E31" s="30" t="s">
        <v>297</v>
      </c>
      <c r="F31" s="30" t="s">
        <v>298</v>
      </c>
      <c r="G31" s="30" t="s">
        <v>299</v>
      </c>
      <c r="H31" s="30" t="s">
        <v>300</v>
      </c>
      <c r="I31" s="30" t="s">
        <v>301</v>
      </c>
      <c r="J31" s="30" t="s">
        <v>302</v>
      </c>
      <c r="K31" s="30" t="s">
        <v>303</v>
      </c>
      <c r="L31" s="30" t="s">
        <v>304</v>
      </c>
      <c r="M31" s="30" t="s">
        <v>305</v>
      </c>
      <c r="N31" s="42" t="s">
        <v>306</v>
      </c>
    </row>
    <row r="32" spans="1:15" x14ac:dyDescent="0.25">
      <c r="A32" s="38">
        <v>47</v>
      </c>
      <c r="B32" s="5" t="s">
        <v>72</v>
      </c>
      <c r="C32" s="29">
        <v>4.7699999999999996</v>
      </c>
      <c r="D32" s="29">
        <v>4.74</v>
      </c>
      <c r="E32" s="29">
        <v>4.2300000000000004</v>
      </c>
      <c r="F32" s="29">
        <v>3.3</v>
      </c>
      <c r="G32" s="29">
        <v>2.39</v>
      </c>
      <c r="H32" s="29">
        <v>2.0299999999999998</v>
      </c>
      <c r="I32" s="29">
        <v>2.4500000000000002</v>
      </c>
      <c r="J32" s="29">
        <v>2.94</v>
      </c>
      <c r="K32" s="29">
        <v>3.37</v>
      </c>
      <c r="L32" s="29">
        <v>4.32</v>
      </c>
      <c r="M32" s="29">
        <v>4.87</v>
      </c>
      <c r="N32" s="44">
        <v>4.45</v>
      </c>
    </row>
    <row r="33" spans="1:14" x14ac:dyDescent="0.25">
      <c r="A33" s="171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72"/>
    </row>
    <row r="34" spans="1:14" ht="18.75" x14ac:dyDescent="0.25">
      <c r="A34" s="173" t="s">
        <v>309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74"/>
    </row>
    <row r="35" spans="1:14" x14ac:dyDescent="0.25">
      <c r="A35" s="175" t="s">
        <v>292</v>
      </c>
      <c r="B35" s="150" t="s">
        <v>293</v>
      </c>
      <c r="C35" s="150" t="s">
        <v>1</v>
      </c>
      <c r="D35" s="150" t="s">
        <v>2</v>
      </c>
      <c r="E35" s="150" t="s">
        <v>310</v>
      </c>
      <c r="F35" s="150"/>
      <c r="G35" s="150"/>
      <c r="H35" s="150"/>
      <c r="I35" s="30"/>
      <c r="J35" s="30"/>
      <c r="K35" s="30"/>
      <c r="L35" s="30"/>
      <c r="M35" s="30"/>
      <c r="N35" s="42"/>
    </row>
    <row r="36" spans="1:14" x14ac:dyDescent="0.25">
      <c r="A36" s="175"/>
      <c r="B36" s="150"/>
      <c r="C36" s="150"/>
      <c r="D36" s="150"/>
      <c r="E36" s="30" t="s">
        <v>292</v>
      </c>
      <c r="F36" s="30" t="s">
        <v>293</v>
      </c>
      <c r="G36" s="30" t="s">
        <v>1</v>
      </c>
      <c r="H36" s="30" t="s">
        <v>2</v>
      </c>
      <c r="I36" s="30"/>
      <c r="J36" s="30"/>
      <c r="K36" s="30"/>
      <c r="L36" s="30"/>
      <c r="M36" s="30"/>
      <c r="N36" s="42"/>
    </row>
    <row r="37" spans="1:14" x14ac:dyDescent="0.25">
      <c r="A37" s="15" t="s">
        <v>71</v>
      </c>
      <c r="B37" s="5" t="s">
        <v>72</v>
      </c>
      <c r="C37" s="35">
        <v>-23.22</v>
      </c>
      <c r="D37" s="35">
        <v>-49.23</v>
      </c>
      <c r="E37" s="34"/>
      <c r="F37" s="34"/>
      <c r="G37" s="34"/>
      <c r="H37" s="34"/>
      <c r="I37" s="34"/>
      <c r="J37" s="34"/>
      <c r="K37" s="34"/>
      <c r="L37" s="34"/>
      <c r="M37" s="34"/>
      <c r="N37" s="45"/>
    </row>
    <row r="38" spans="1:14" ht="15.75" thickBot="1" x14ac:dyDescent="0.3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</row>
    <row r="39" spans="1:14" ht="19.5" thickTop="1" x14ac:dyDescent="0.25">
      <c r="A39" s="182" t="s">
        <v>311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4"/>
    </row>
    <row r="40" spans="1:14" x14ac:dyDescent="0.25">
      <c r="A40" s="175" t="s">
        <v>292</v>
      </c>
      <c r="B40" s="150" t="s">
        <v>293</v>
      </c>
      <c r="C40" s="151" t="s">
        <v>312</v>
      </c>
      <c r="D40" s="152"/>
      <c r="E40" s="152"/>
      <c r="F40" s="153"/>
      <c r="G40" s="151" t="s">
        <v>313</v>
      </c>
      <c r="H40" s="152"/>
      <c r="I40" s="152"/>
      <c r="J40" s="153"/>
      <c r="K40" s="30"/>
      <c r="L40" s="30"/>
      <c r="M40" s="30"/>
      <c r="N40" s="42"/>
    </row>
    <row r="41" spans="1:14" x14ac:dyDescent="0.25">
      <c r="A41" s="175"/>
      <c r="B41" s="150"/>
      <c r="C41" s="154"/>
      <c r="D41" s="155"/>
      <c r="E41" s="155"/>
      <c r="F41" s="156"/>
      <c r="G41" s="154"/>
      <c r="H41" s="155"/>
      <c r="I41" s="155"/>
      <c r="J41" s="156"/>
      <c r="K41" s="30"/>
      <c r="L41" s="30"/>
      <c r="M41" s="30"/>
      <c r="N41" s="42"/>
    </row>
    <row r="42" spans="1:14" x14ac:dyDescent="0.25">
      <c r="A42" s="39"/>
      <c r="B42" s="5"/>
      <c r="C42" s="164"/>
      <c r="D42" s="164"/>
      <c r="E42" s="164"/>
      <c r="F42" s="164"/>
      <c r="G42" s="164"/>
      <c r="H42" s="164"/>
      <c r="I42" s="164"/>
      <c r="J42" s="164"/>
      <c r="K42" s="35"/>
      <c r="L42" s="35"/>
      <c r="M42" s="35"/>
      <c r="N42" s="46"/>
    </row>
    <row r="43" spans="1:14" x14ac:dyDescent="0.25">
      <c r="A43" s="171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72"/>
    </row>
    <row r="44" spans="1:14" ht="18.75" x14ac:dyDescent="0.25">
      <c r="A44" s="168" t="s">
        <v>366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70"/>
    </row>
    <row r="45" spans="1:14" x14ac:dyDescent="0.25">
      <c r="A45" s="171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72"/>
    </row>
    <row r="46" spans="1:14" ht="18.75" x14ac:dyDescent="0.25">
      <c r="A46" s="173" t="s">
        <v>291</v>
      </c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74"/>
    </row>
    <row r="47" spans="1:14" x14ac:dyDescent="0.25">
      <c r="A47" s="175" t="s">
        <v>292</v>
      </c>
      <c r="B47" s="150" t="s">
        <v>293</v>
      </c>
      <c r="C47" s="157" t="s">
        <v>294</v>
      </c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76"/>
    </row>
    <row r="48" spans="1:14" x14ac:dyDescent="0.25">
      <c r="A48" s="175"/>
      <c r="B48" s="150"/>
      <c r="C48" s="30" t="s">
        <v>295</v>
      </c>
      <c r="D48" s="30" t="s">
        <v>296</v>
      </c>
      <c r="E48" s="30" t="s">
        <v>297</v>
      </c>
      <c r="F48" s="30" t="s">
        <v>298</v>
      </c>
      <c r="G48" s="30" t="s">
        <v>299</v>
      </c>
      <c r="H48" s="30" t="s">
        <v>300</v>
      </c>
      <c r="I48" s="30" t="s">
        <v>301</v>
      </c>
      <c r="J48" s="30" t="s">
        <v>302</v>
      </c>
      <c r="K48" s="30" t="s">
        <v>303</v>
      </c>
      <c r="L48" s="30" t="s">
        <v>304</v>
      </c>
      <c r="M48" s="30" t="s">
        <v>305</v>
      </c>
      <c r="N48" s="42" t="s">
        <v>306</v>
      </c>
    </row>
    <row r="49" spans="1:14" x14ac:dyDescent="0.25">
      <c r="A49" s="38">
        <v>48</v>
      </c>
      <c r="B49" s="5" t="s">
        <v>367</v>
      </c>
      <c r="C49" s="6">
        <v>4.5999999999999999E-2</v>
      </c>
      <c r="D49" s="6">
        <v>4.5999999999999999E-2</v>
      </c>
      <c r="E49" s="6">
        <v>4.5999999999999999E-2</v>
      </c>
      <c r="F49" s="6">
        <v>4.5999999999999999E-2</v>
      </c>
      <c r="G49" s="6">
        <v>4.5999999999999999E-2</v>
      </c>
      <c r="H49" s="6">
        <v>4.5999999999999999E-2</v>
      </c>
      <c r="I49" s="6">
        <v>4.5999999999999999E-2</v>
      </c>
      <c r="J49" s="6">
        <v>4.5999999999999999E-2</v>
      </c>
      <c r="K49" s="6">
        <v>4.5999999999999999E-2</v>
      </c>
      <c r="L49" s="6">
        <v>4.5999999999999999E-2</v>
      </c>
      <c r="M49" s="6">
        <v>4.5999999999999999E-2</v>
      </c>
      <c r="N49" s="43">
        <v>4.5999999999999999E-2</v>
      </c>
    </row>
    <row r="50" spans="1:14" x14ac:dyDescent="0.25">
      <c r="A50" s="53">
        <v>53</v>
      </c>
      <c r="B50" s="3" t="s">
        <v>259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54">
        <v>0</v>
      </c>
    </row>
    <row r="51" spans="1:14" x14ac:dyDescent="0.25">
      <c r="A51" s="38">
        <v>49</v>
      </c>
      <c r="B51" s="5" t="s">
        <v>70</v>
      </c>
      <c r="C51" s="6">
        <v>0.95399999999999996</v>
      </c>
      <c r="D51" s="6">
        <v>0.95399999999999996</v>
      </c>
      <c r="E51" s="6">
        <v>0.95399999999999996</v>
      </c>
      <c r="F51" s="6">
        <v>0.95399999999999996</v>
      </c>
      <c r="G51" s="6">
        <v>0.95399999999999996</v>
      </c>
      <c r="H51" s="6">
        <v>0.95399999999999996</v>
      </c>
      <c r="I51" s="6">
        <v>0.95399999999999996</v>
      </c>
      <c r="J51" s="6">
        <v>0.95399999999999996</v>
      </c>
      <c r="K51" s="6">
        <v>0.95399999999999996</v>
      </c>
      <c r="L51" s="6">
        <v>0.95399999999999996</v>
      </c>
      <c r="M51" s="6">
        <v>0.95399999999999996</v>
      </c>
      <c r="N51" s="43">
        <v>0.95399999999999996</v>
      </c>
    </row>
    <row r="52" spans="1:14" x14ac:dyDescent="0.25">
      <c r="A52" s="171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72"/>
    </row>
    <row r="53" spans="1:14" x14ac:dyDescent="0.25">
      <c r="A53" s="175" t="s">
        <v>292</v>
      </c>
      <c r="B53" s="150" t="s">
        <v>293</v>
      </c>
      <c r="C53" s="157" t="s">
        <v>308</v>
      </c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76"/>
    </row>
    <row r="54" spans="1:14" x14ac:dyDescent="0.25">
      <c r="A54" s="175"/>
      <c r="B54" s="150"/>
      <c r="C54" s="30" t="s">
        <v>295</v>
      </c>
      <c r="D54" s="30" t="s">
        <v>296</v>
      </c>
      <c r="E54" s="30" t="s">
        <v>297</v>
      </c>
      <c r="F54" s="30" t="s">
        <v>298</v>
      </c>
      <c r="G54" s="30" t="s">
        <v>299</v>
      </c>
      <c r="H54" s="30" t="s">
        <v>300</v>
      </c>
      <c r="I54" s="30" t="s">
        <v>301</v>
      </c>
      <c r="J54" s="30" t="s">
        <v>302</v>
      </c>
      <c r="K54" s="30" t="s">
        <v>303</v>
      </c>
      <c r="L54" s="30" t="s">
        <v>304</v>
      </c>
      <c r="M54" s="30" t="s">
        <v>305</v>
      </c>
      <c r="N54" s="42" t="s">
        <v>306</v>
      </c>
    </row>
    <row r="55" spans="1:14" x14ac:dyDescent="0.25">
      <c r="A55" s="38">
        <v>49</v>
      </c>
      <c r="B55" s="5" t="s">
        <v>70</v>
      </c>
      <c r="C55" s="29">
        <v>5.71</v>
      </c>
      <c r="D55" s="29">
        <v>5.66</v>
      </c>
      <c r="E55" s="29">
        <v>5.16</v>
      </c>
      <c r="F55" s="29">
        <v>4.43</v>
      </c>
      <c r="G55" s="29">
        <v>3.13</v>
      </c>
      <c r="H55" s="29">
        <v>2.6</v>
      </c>
      <c r="I55" s="29">
        <v>3.29</v>
      </c>
      <c r="J55" s="29">
        <v>4.13</v>
      </c>
      <c r="K55" s="29">
        <v>4.9000000000000004</v>
      </c>
      <c r="L55" s="29">
        <v>5.97</v>
      </c>
      <c r="M55" s="29">
        <v>6.3</v>
      </c>
      <c r="N55" s="44">
        <v>5.45</v>
      </c>
    </row>
    <row r="56" spans="1:14" x14ac:dyDescent="0.25">
      <c r="A56" s="171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72"/>
    </row>
    <row r="57" spans="1:14" ht="18.75" x14ac:dyDescent="0.25">
      <c r="A57" s="173" t="s">
        <v>309</v>
      </c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74"/>
    </row>
    <row r="58" spans="1:14" x14ac:dyDescent="0.25">
      <c r="A58" s="175" t="s">
        <v>292</v>
      </c>
      <c r="B58" s="150" t="s">
        <v>293</v>
      </c>
      <c r="C58" s="150" t="s">
        <v>1</v>
      </c>
      <c r="D58" s="150" t="s">
        <v>2</v>
      </c>
      <c r="E58" s="150" t="s">
        <v>310</v>
      </c>
      <c r="F58" s="150"/>
      <c r="G58" s="150"/>
      <c r="H58" s="150"/>
      <c r="I58" s="30"/>
      <c r="J58" s="30"/>
      <c r="K58" s="30"/>
      <c r="L58" s="30"/>
      <c r="M58" s="30"/>
      <c r="N58" s="42"/>
    </row>
    <row r="59" spans="1:14" x14ac:dyDescent="0.25">
      <c r="A59" s="175"/>
      <c r="B59" s="150"/>
      <c r="C59" s="150"/>
      <c r="D59" s="150"/>
      <c r="E59" s="30" t="s">
        <v>292</v>
      </c>
      <c r="F59" s="30" t="s">
        <v>293</v>
      </c>
      <c r="G59" s="30" t="s">
        <v>1</v>
      </c>
      <c r="H59" s="30" t="s">
        <v>2</v>
      </c>
      <c r="I59" s="30"/>
      <c r="J59" s="30"/>
      <c r="K59" s="30"/>
      <c r="L59" s="30"/>
      <c r="M59" s="30"/>
      <c r="N59" s="42"/>
    </row>
    <row r="60" spans="1:14" x14ac:dyDescent="0.25">
      <c r="A60" s="15" t="s">
        <v>69</v>
      </c>
      <c r="B60" s="5" t="s">
        <v>70</v>
      </c>
      <c r="C60" s="35">
        <v>-23.01</v>
      </c>
      <c r="D60" s="35">
        <v>-49.73</v>
      </c>
      <c r="E60" s="35"/>
      <c r="F60" s="35"/>
      <c r="G60" s="35"/>
      <c r="H60" s="35"/>
      <c r="I60" s="35"/>
      <c r="J60" s="35"/>
      <c r="K60" s="35"/>
      <c r="L60" s="35"/>
      <c r="M60" s="35"/>
      <c r="N60" s="46"/>
    </row>
    <row r="61" spans="1:14" x14ac:dyDescent="0.25">
      <c r="A61" s="171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72"/>
    </row>
    <row r="62" spans="1:14" ht="18.75" x14ac:dyDescent="0.25">
      <c r="A62" s="173" t="s">
        <v>311</v>
      </c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74"/>
    </row>
    <row r="63" spans="1:14" x14ac:dyDescent="0.25">
      <c r="A63" s="175" t="s">
        <v>292</v>
      </c>
      <c r="B63" s="150" t="s">
        <v>293</v>
      </c>
      <c r="C63" s="151" t="s">
        <v>312</v>
      </c>
      <c r="D63" s="152"/>
      <c r="E63" s="152"/>
      <c r="F63" s="153"/>
      <c r="G63" s="151" t="s">
        <v>313</v>
      </c>
      <c r="H63" s="152"/>
      <c r="I63" s="152"/>
      <c r="J63" s="153"/>
      <c r="K63" s="30"/>
      <c r="L63" s="30"/>
      <c r="M63" s="30"/>
      <c r="N63" s="42"/>
    </row>
    <row r="64" spans="1:14" s="4" customFormat="1" x14ac:dyDescent="0.25">
      <c r="A64" s="175"/>
      <c r="B64" s="150"/>
      <c r="C64" s="154"/>
      <c r="D64" s="155"/>
      <c r="E64" s="155"/>
      <c r="F64" s="156"/>
      <c r="G64" s="154"/>
      <c r="H64" s="155"/>
      <c r="I64" s="155"/>
      <c r="J64" s="156"/>
      <c r="K64" s="30"/>
      <c r="L64" s="30"/>
      <c r="M64" s="30"/>
      <c r="N64" s="42"/>
    </row>
    <row r="65" spans="1:14" ht="15.75" thickBot="1" x14ac:dyDescent="0.3">
      <c r="A65" s="49"/>
      <c r="B65" s="50"/>
      <c r="C65" s="177"/>
      <c r="D65" s="177"/>
      <c r="E65" s="177"/>
      <c r="F65" s="177"/>
      <c r="G65" s="177"/>
      <c r="H65" s="177"/>
      <c r="I65" s="177"/>
      <c r="J65" s="177"/>
      <c r="K65" s="51"/>
      <c r="L65" s="51"/>
      <c r="M65" s="51"/>
      <c r="N65" s="52"/>
    </row>
    <row r="66" spans="1:14" ht="16.5" thickTop="1" thickBot="1" x14ac:dyDescent="0.3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</row>
    <row r="67" spans="1:14" ht="15" customHeight="1" thickTop="1" x14ac:dyDescent="0.25">
      <c r="A67" s="178" t="s">
        <v>368</v>
      </c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80"/>
    </row>
    <row r="68" spans="1:14" ht="15" customHeight="1" x14ac:dyDescent="0.25">
      <c r="A68" s="171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72"/>
    </row>
    <row r="69" spans="1:14" ht="15" customHeight="1" x14ac:dyDescent="0.25">
      <c r="A69" s="173" t="s">
        <v>291</v>
      </c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74"/>
    </row>
    <row r="70" spans="1:14" ht="15" customHeight="1" x14ac:dyDescent="0.25">
      <c r="A70" s="175" t="s">
        <v>292</v>
      </c>
      <c r="B70" s="150" t="s">
        <v>293</v>
      </c>
      <c r="C70" s="157" t="s">
        <v>294</v>
      </c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76"/>
    </row>
    <row r="71" spans="1:14" ht="15" customHeight="1" x14ac:dyDescent="0.25">
      <c r="A71" s="175"/>
      <c r="B71" s="150"/>
      <c r="C71" s="30" t="s">
        <v>295</v>
      </c>
      <c r="D71" s="30" t="s">
        <v>296</v>
      </c>
      <c r="E71" s="30" t="s">
        <v>297</v>
      </c>
      <c r="F71" s="30" t="s">
        <v>298</v>
      </c>
      <c r="G71" s="30" t="s">
        <v>299</v>
      </c>
      <c r="H71" s="30" t="s">
        <v>300</v>
      </c>
      <c r="I71" s="30" t="s">
        <v>301</v>
      </c>
      <c r="J71" s="30" t="s">
        <v>302</v>
      </c>
      <c r="K71" s="30" t="s">
        <v>303</v>
      </c>
      <c r="L71" s="30" t="s">
        <v>304</v>
      </c>
      <c r="M71" s="30" t="s">
        <v>305</v>
      </c>
      <c r="N71" s="42" t="s">
        <v>306</v>
      </c>
    </row>
    <row r="72" spans="1:14" ht="15" customHeight="1" x14ac:dyDescent="0.25">
      <c r="A72" s="38">
        <v>50</v>
      </c>
      <c r="B72" s="5" t="s">
        <v>369</v>
      </c>
      <c r="C72" s="6">
        <v>0.77800000000000002</v>
      </c>
      <c r="D72" s="6">
        <v>0.77800000000000002</v>
      </c>
      <c r="E72" s="6">
        <v>0.77800000000000002</v>
      </c>
      <c r="F72" s="6">
        <v>0.77800000000000002</v>
      </c>
      <c r="G72" s="6">
        <v>0.77800000000000002</v>
      </c>
      <c r="H72" s="6">
        <v>0.77800000000000002</v>
      </c>
      <c r="I72" s="6">
        <v>0.77800000000000002</v>
      </c>
      <c r="J72" s="6">
        <v>0.77800000000000002</v>
      </c>
      <c r="K72" s="6">
        <v>0.77800000000000002</v>
      </c>
      <c r="L72" s="6">
        <v>0.77800000000000002</v>
      </c>
      <c r="M72" s="6">
        <v>0.77800000000000002</v>
      </c>
      <c r="N72" s="43">
        <v>0.77800000000000002</v>
      </c>
    </row>
    <row r="73" spans="1:14" ht="15" customHeight="1" x14ac:dyDescent="0.25">
      <c r="A73" s="53">
        <v>51</v>
      </c>
      <c r="B73" s="3" t="s">
        <v>370</v>
      </c>
      <c r="C73" s="7">
        <v>6.0999999999999999E-2</v>
      </c>
      <c r="D73" s="7">
        <v>6.0999999999999999E-2</v>
      </c>
      <c r="E73" s="7">
        <v>6.0999999999999999E-2</v>
      </c>
      <c r="F73" s="7">
        <v>6.0999999999999999E-2</v>
      </c>
      <c r="G73" s="7">
        <v>6.0999999999999999E-2</v>
      </c>
      <c r="H73" s="7">
        <v>6.0999999999999999E-2</v>
      </c>
      <c r="I73" s="7">
        <v>6.0999999999999999E-2</v>
      </c>
      <c r="J73" s="7">
        <v>6.0999999999999999E-2</v>
      </c>
      <c r="K73" s="7">
        <v>6.0999999999999999E-2</v>
      </c>
      <c r="L73" s="7">
        <v>6.0999999999999999E-2</v>
      </c>
      <c r="M73" s="7">
        <v>6.0999999999999999E-2</v>
      </c>
      <c r="N73" s="54">
        <v>6.0999999999999999E-2</v>
      </c>
    </row>
    <row r="74" spans="1:14" ht="15" customHeight="1" x14ac:dyDescent="0.25">
      <c r="A74" s="38">
        <v>52</v>
      </c>
      <c r="B74" s="5" t="s">
        <v>66</v>
      </c>
      <c r="C74" s="6">
        <v>0.13</v>
      </c>
      <c r="D74" s="6">
        <v>0.13</v>
      </c>
      <c r="E74" s="6">
        <v>0.13</v>
      </c>
      <c r="F74" s="6">
        <v>0.13</v>
      </c>
      <c r="G74" s="6">
        <v>0.13</v>
      </c>
      <c r="H74" s="6">
        <v>0.13</v>
      </c>
      <c r="I74" s="6">
        <v>0.13</v>
      </c>
      <c r="J74" s="6">
        <v>0.13</v>
      </c>
      <c r="K74" s="6">
        <v>0.13</v>
      </c>
      <c r="L74" s="6">
        <v>0.13</v>
      </c>
      <c r="M74" s="6">
        <v>0.13</v>
      </c>
      <c r="N74" s="43">
        <v>0.13</v>
      </c>
    </row>
    <row r="75" spans="1:14" ht="15" customHeight="1" x14ac:dyDescent="0.25">
      <c r="A75" s="53">
        <v>249</v>
      </c>
      <c r="B75" s="3" t="s">
        <v>371</v>
      </c>
      <c r="C75" s="7">
        <v>3.1E-2</v>
      </c>
      <c r="D75" s="7">
        <v>3.1E-2</v>
      </c>
      <c r="E75" s="7">
        <v>3.1E-2</v>
      </c>
      <c r="F75" s="7">
        <v>3.1E-2</v>
      </c>
      <c r="G75" s="7">
        <v>3.1E-2</v>
      </c>
      <c r="H75" s="7">
        <v>3.1E-2</v>
      </c>
      <c r="I75" s="7">
        <v>3.1E-2</v>
      </c>
      <c r="J75" s="7">
        <v>3.1E-2</v>
      </c>
      <c r="K75" s="7">
        <v>3.1E-2</v>
      </c>
      <c r="L75" s="7">
        <v>3.1E-2</v>
      </c>
      <c r="M75" s="7">
        <v>3.1E-2</v>
      </c>
      <c r="N75" s="54">
        <v>3.1E-2</v>
      </c>
    </row>
    <row r="76" spans="1:14" ht="15" customHeight="1" x14ac:dyDescent="0.25">
      <c r="A76" s="171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72"/>
    </row>
    <row r="77" spans="1:14" ht="20.100000000000001" customHeight="1" x14ac:dyDescent="0.25">
      <c r="A77" s="175" t="s">
        <v>292</v>
      </c>
      <c r="B77" s="150" t="s">
        <v>293</v>
      </c>
      <c r="C77" s="157" t="s">
        <v>308</v>
      </c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76"/>
    </row>
    <row r="78" spans="1:14" s="4" customFormat="1" x14ac:dyDescent="0.25">
      <c r="A78" s="175"/>
      <c r="B78" s="150"/>
      <c r="C78" s="30" t="s">
        <v>295</v>
      </c>
      <c r="D78" s="30" t="s">
        <v>296</v>
      </c>
      <c r="E78" s="30" t="s">
        <v>297</v>
      </c>
      <c r="F78" s="30" t="s">
        <v>298</v>
      </c>
      <c r="G78" s="30" t="s">
        <v>299</v>
      </c>
      <c r="H78" s="30" t="s">
        <v>300</v>
      </c>
      <c r="I78" s="30" t="s">
        <v>301</v>
      </c>
      <c r="J78" s="30" t="s">
        <v>302</v>
      </c>
      <c r="K78" s="30" t="s">
        <v>303</v>
      </c>
      <c r="L78" s="30" t="s">
        <v>304</v>
      </c>
      <c r="M78" s="30" t="s">
        <v>305</v>
      </c>
      <c r="N78" s="42" t="s">
        <v>306</v>
      </c>
    </row>
    <row r="79" spans="1:14" x14ac:dyDescent="0.25">
      <c r="A79" s="38">
        <v>52</v>
      </c>
      <c r="B79" s="5" t="s">
        <v>66</v>
      </c>
      <c r="C79" s="29">
        <v>5.71</v>
      </c>
      <c r="D79" s="29">
        <v>5.66</v>
      </c>
      <c r="E79" s="29">
        <v>5.16</v>
      </c>
      <c r="F79" s="29">
        <v>4.43</v>
      </c>
      <c r="G79" s="29">
        <v>3.13</v>
      </c>
      <c r="H79" s="29">
        <v>2.6</v>
      </c>
      <c r="I79" s="29">
        <v>3.29</v>
      </c>
      <c r="J79" s="29">
        <v>4.13</v>
      </c>
      <c r="K79" s="29">
        <v>4.9000000000000004</v>
      </c>
      <c r="L79" s="29">
        <v>5.97</v>
      </c>
      <c r="M79" s="29">
        <v>6.3</v>
      </c>
      <c r="N79" s="44">
        <v>5.45</v>
      </c>
    </row>
    <row r="80" spans="1:14" x14ac:dyDescent="0.25">
      <c r="A80" s="171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72"/>
    </row>
    <row r="81" spans="1:14" ht="20.100000000000001" customHeight="1" x14ac:dyDescent="0.25">
      <c r="A81" s="173" t="s">
        <v>309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74"/>
    </row>
    <row r="82" spans="1:14" x14ac:dyDescent="0.25">
      <c r="A82" s="175" t="s">
        <v>292</v>
      </c>
      <c r="B82" s="150" t="s">
        <v>293</v>
      </c>
      <c r="C82" s="150" t="s">
        <v>1</v>
      </c>
      <c r="D82" s="150" t="s">
        <v>2</v>
      </c>
      <c r="E82" s="150" t="s">
        <v>310</v>
      </c>
      <c r="F82" s="150"/>
      <c r="G82" s="150"/>
      <c r="H82" s="150"/>
      <c r="I82" s="30"/>
      <c r="J82" s="30"/>
      <c r="K82" s="30"/>
      <c r="L82" s="30"/>
      <c r="M82" s="30"/>
      <c r="N82" s="42"/>
    </row>
    <row r="83" spans="1:14" x14ac:dyDescent="0.25">
      <c r="A83" s="175"/>
      <c r="B83" s="150"/>
      <c r="C83" s="150"/>
      <c r="D83" s="150"/>
      <c r="E83" s="30" t="s">
        <v>292</v>
      </c>
      <c r="F83" s="30" t="s">
        <v>293</v>
      </c>
      <c r="G83" s="30" t="s">
        <v>1</v>
      </c>
      <c r="H83" s="30" t="s">
        <v>2</v>
      </c>
      <c r="I83" s="30"/>
      <c r="J83" s="30"/>
      <c r="K83" s="30"/>
      <c r="L83" s="30"/>
      <c r="M83" s="30"/>
      <c r="N83" s="42"/>
    </row>
    <row r="84" spans="1:14" x14ac:dyDescent="0.25">
      <c r="A84" s="15" t="s">
        <v>65</v>
      </c>
      <c r="B84" s="5" t="s">
        <v>66</v>
      </c>
      <c r="C84" s="35">
        <v>-22.94</v>
      </c>
      <c r="D84" s="35">
        <v>-50.52</v>
      </c>
      <c r="E84" s="35"/>
      <c r="F84" s="35"/>
      <c r="G84" s="35"/>
      <c r="H84" s="35"/>
      <c r="I84" s="35"/>
      <c r="J84" s="35"/>
      <c r="K84" s="35"/>
      <c r="L84" s="35"/>
      <c r="M84" s="35"/>
      <c r="N84" s="46"/>
    </row>
    <row r="85" spans="1:14" x14ac:dyDescent="0.25">
      <c r="A85" s="171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72"/>
    </row>
    <row r="86" spans="1:14" ht="18.75" x14ac:dyDescent="0.25">
      <c r="A86" s="173" t="s">
        <v>311</v>
      </c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74"/>
    </row>
    <row r="87" spans="1:14" x14ac:dyDescent="0.25">
      <c r="A87" s="175" t="s">
        <v>292</v>
      </c>
      <c r="B87" s="150" t="s">
        <v>293</v>
      </c>
      <c r="C87" s="151" t="s">
        <v>312</v>
      </c>
      <c r="D87" s="152"/>
      <c r="E87" s="152"/>
      <c r="F87" s="153"/>
      <c r="G87" s="151" t="s">
        <v>313</v>
      </c>
      <c r="H87" s="152"/>
      <c r="I87" s="152"/>
      <c r="J87" s="153"/>
      <c r="K87" s="30"/>
      <c r="L87" s="30"/>
      <c r="M87" s="30"/>
      <c r="N87" s="42"/>
    </row>
    <row r="88" spans="1:14" x14ac:dyDescent="0.25">
      <c r="A88" s="175"/>
      <c r="B88" s="150"/>
      <c r="C88" s="154"/>
      <c r="D88" s="155"/>
      <c r="E88" s="155"/>
      <c r="F88" s="156"/>
      <c r="G88" s="154"/>
      <c r="H88" s="155"/>
      <c r="I88" s="155"/>
      <c r="J88" s="156"/>
      <c r="K88" s="30"/>
      <c r="L88" s="30"/>
      <c r="M88" s="30"/>
      <c r="N88" s="42"/>
    </row>
    <row r="89" spans="1:14" ht="15.75" thickBot="1" x14ac:dyDescent="0.3">
      <c r="A89" s="49"/>
      <c r="B89" s="50"/>
      <c r="C89" s="177"/>
      <c r="D89" s="177"/>
      <c r="E89" s="177"/>
      <c r="F89" s="177"/>
      <c r="G89" s="177"/>
      <c r="H89" s="177"/>
      <c r="I89" s="177"/>
      <c r="J89" s="177"/>
      <c r="K89" s="51"/>
      <c r="L89" s="51"/>
      <c r="M89" s="51"/>
      <c r="N89" s="52"/>
    </row>
    <row r="90" spans="1:14" ht="16.5" thickTop="1" thickBot="1" x14ac:dyDescent="0.3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</row>
    <row r="91" spans="1:14" ht="19.5" thickTop="1" x14ac:dyDescent="0.25">
      <c r="A91" s="178" t="s">
        <v>372</v>
      </c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80"/>
    </row>
    <row r="92" spans="1:14" x14ac:dyDescent="0.25">
      <c r="A92" s="171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72"/>
    </row>
    <row r="93" spans="1:14" ht="18.75" x14ac:dyDescent="0.25">
      <c r="A93" s="173" t="s">
        <v>291</v>
      </c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74"/>
    </row>
    <row r="94" spans="1:14" x14ac:dyDescent="0.25">
      <c r="A94" s="175" t="s">
        <v>292</v>
      </c>
      <c r="B94" s="150" t="s">
        <v>293</v>
      </c>
      <c r="C94" s="157" t="s">
        <v>294</v>
      </c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76"/>
    </row>
    <row r="95" spans="1:14" x14ac:dyDescent="0.25">
      <c r="A95" s="175"/>
      <c r="B95" s="150"/>
      <c r="C95" s="30" t="s">
        <v>295</v>
      </c>
      <c r="D95" s="30" t="s">
        <v>296</v>
      </c>
      <c r="E95" s="30" t="s">
        <v>297</v>
      </c>
      <c r="F95" s="30" t="s">
        <v>298</v>
      </c>
      <c r="G95" s="30" t="s">
        <v>299</v>
      </c>
      <c r="H95" s="30" t="s">
        <v>300</v>
      </c>
      <c r="I95" s="30" t="s">
        <v>301</v>
      </c>
      <c r="J95" s="30" t="s">
        <v>302</v>
      </c>
      <c r="K95" s="30" t="s">
        <v>303</v>
      </c>
      <c r="L95" s="30" t="s">
        <v>304</v>
      </c>
      <c r="M95" s="30" t="s">
        <v>305</v>
      </c>
      <c r="N95" s="42" t="s">
        <v>306</v>
      </c>
    </row>
    <row r="96" spans="1:14" x14ac:dyDescent="0.25">
      <c r="A96" s="38">
        <v>61</v>
      </c>
      <c r="B96" s="5" t="s">
        <v>68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43"/>
    </row>
    <row r="97" spans="1:14" x14ac:dyDescent="0.25">
      <c r="A97" s="171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72"/>
    </row>
    <row r="98" spans="1:14" x14ac:dyDescent="0.25">
      <c r="A98" s="175" t="s">
        <v>292</v>
      </c>
      <c r="B98" s="150" t="s">
        <v>293</v>
      </c>
      <c r="C98" s="157" t="s">
        <v>308</v>
      </c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76"/>
    </row>
    <row r="99" spans="1:14" x14ac:dyDescent="0.25">
      <c r="A99" s="175"/>
      <c r="B99" s="150"/>
      <c r="C99" s="30" t="s">
        <v>295</v>
      </c>
      <c r="D99" s="30" t="s">
        <v>296</v>
      </c>
      <c r="E99" s="30" t="s">
        <v>297</v>
      </c>
      <c r="F99" s="30" t="s">
        <v>298</v>
      </c>
      <c r="G99" s="30" t="s">
        <v>299</v>
      </c>
      <c r="H99" s="30" t="s">
        <v>300</v>
      </c>
      <c r="I99" s="30" t="s">
        <v>301</v>
      </c>
      <c r="J99" s="30" t="s">
        <v>302</v>
      </c>
      <c r="K99" s="30" t="s">
        <v>303</v>
      </c>
      <c r="L99" s="30" t="s">
        <v>304</v>
      </c>
      <c r="M99" s="30" t="s">
        <v>305</v>
      </c>
      <c r="N99" s="42" t="s">
        <v>306</v>
      </c>
    </row>
    <row r="100" spans="1:14" x14ac:dyDescent="0.25">
      <c r="A100" s="38">
        <v>61</v>
      </c>
      <c r="B100" s="5" t="s">
        <v>68</v>
      </c>
      <c r="C100" s="29">
        <v>6.61</v>
      </c>
      <c r="D100" s="29">
        <v>6.23</v>
      </c>
      <c r="E100" s="29">
        <v>5.74</v>
      </c>
      <c r="F100" s="29">
        <v>5.07</v>
      </c>
      <c r="G100" s="29">
        <v>3.35</v>
      </c>
      <c r="H100" s="29">
        <v>2.97</v>
      </c>
      <c r="I100" s="29">
        <v>3.68</v>
      </c>
      <c r="J100" s="29">
        <v>4.45</v>
      </c>
      <c r="K100" s="29">
        <v>5.23</v>
      </c>
      <c r="L100" s="29">
        <v>6.42</v>
      </c>
      <c r="M100" s="29">
        <v>6.97</v>
      </c>
      <c r="N100" s="44">
        <v>6.35</v>
      </c>
    </row>
    <row r="101" spans="1:14" x14ac:dyDescent="0.25">
      <c r="A101" s="171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72"/>
    </row>
    <row r="102" spans="1:14" ht="18.75" x14ac:dyDescent="0.25">
      <c r="A102" s="173" t="s">
        <v>309</v>
      </c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74"/>
    </row>
    <row r="103" spans="1:14" x14ac:dyDescent="0.25">
      <c r="A103" s="175" t="s">
        <v>292</v>
      </c>
      <c r="B103" s="150" t="s">
        <v>293</v>
      </c>
      <c r="C103" s="150" t="s">
        <v>1</v>
      </c>
      <c r="D103" s="150" t="s">
        <v>2</v>
      </c>
      <c r="E103" s="150" t="s">
        <v>310</v>
      </c>
      <c r="F103" s="150"/>
      <c r="G103" s="150"/>
      <c r="H103" s="150"/>
      <c r="I103" s="30"/>
      <c r="J103" s="30"/>
      <c r="K103" s="30"/>
      <c r="L103" s="30"/>
      <c r="M103" s="30"/>
      <c r="N103" s="42"/>
    </row>
    <row r="104" spans="1:14" x14ac:dyDescent="0.25">
      <c r="A104" s="175"/>
      <c r="B104" s="150"/>
      <c r="C104" s="150"/>
      <c r="D104" s="150"/>
      <c r="E104" s="30" t="s">
        <v>292</v>
      </c>
      <c r="F104" s="30" t="s">
        <v>293</v>
      </c>
      <c r="G104" s="30" t="s">
        <v>1</v>
      </c>
      <c r="H104" s="30" t="s">
        <v>2</v>
      </c>
      <c r="I104" s="30"/>
      <c r="J104" s="30"/>
      <c r="K104" s="30"/>
      <c r="L104" s="30"/>
      <c r="M104" s="30"/>
      <c r="N104" s="42"/>
    </row>
    <row r="105" spans="1:14" x14ac:dyDescent="0.25">
      <c r="A105" s="15" t="s">
        <v>67</v>
      </c>
      <c r="B105" s="5" t="s">
        <v>68</v>
      </c>
      <c r="C105" s="35">
        <v>-22.65</v>
      </c>
      <c r="D105" s="35">
        <v>-51.33</v>
      </c>
      <c r="E105" s="35"/>
      <c r="F105" s="26"/>
      <c r="G105" s="35"/>
      <c r="H105" s="35"/>
      <c r="I105" s="35"/>
      <c r="J105" s="35"/>
      <c r="K105" s="35"/>
      <c r="L105" s="35"/>
      <c r="M105" s="35"/>
      <c r="N105" s="46"/>
    </row>
    <row r="106" spans="1:14" x14ac:dyDescent="0.25">
      <c r="A106" s="171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72"/>
    </row>
    <row r="107" spans="1:14" ht="18.75" x14ac:dyDescent="0.25">
      <c r="A107" s="173" t="s">
        <v>311</v>
      </c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74"/>
    </row>
    <row r="108" spans="1:14" x14ac:dyDescent="0.25">
      <c r="A108" s="175" t="s">
        <v>292</v>
      </c>
      <c r="B108" s="150" t="s">
        <v>293</v>
      </c>
      <c r="C108" s="151" t="s">
        <v>312</v>
      </c>
      <c r="D108" s="152"/>
      <c r="E108" s="152"/>
      <c r="F108" s="153"/>
      <c r="G108" s="151" t="s">
        <v>313</v>
      </c>
      <c r="H108" s="152"/>
      <c r="I108" s="152"/>
      <c r="J108" s="153"/>
      <c r="K108" s="30"/>
      <c r="L108" s="30"/>
      <c r="M108" s="30"/>
      <c r="N108" s="42"/>
    </row>
    <row r="109" spans="1:14" x14ac:dyDescent="0.25">
      <c r="A109" s="175"/>
      <c r="B109" s="150"/>
      <c r="C109" s="154"/>
      <c r="D109" s="155"/>
      <c r="E109" s="155"/>
      <c r="F109" s="156"/>
      <c r="G109" s="154"/>
      <c r="H109" s="155"/>
      <c r="I109" s="155"/>
      <c r="J109" s="156"/>
      <c r="K109" s="30"/>
      <c r="L109" s="30"/>
      <c r="M109" s="30"/>
      <c r="N109" s="42"/>
    </row>
    <row r="110" spans="1:14" ht="15.75" thickBot="1" x14ac:dyDescent="0.3">
      <c r="A110" s="49"/>
      <c r="B110" s="50"/>
      <c r="C110" s="177"/>
      <c r="D110" s="177"/>
      <c r="E110" s="177"/>
      <c r="F110" s="177"/>
      <c r="G110" s="177"/>
      <c r="H110" s="177"/>
      <c r="I110" s="177"/>
      <c r="J110" s="177"/>
      <c r="K110" s="51"/>
      <c r="L110" s="51"/>
      <c r="M110" s="51"/>
      <c r="N110" s="52"/>
    </row>
    <row r="111" spans="1:14" ht="16.5" thickTop="1" thickBot="1" x14ac:dyDescent="0.3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</row>
    <row r="112" spans="1:14" ht="19.5" thickTop="1" x14ac:dyDescent="0.25">
      <c r="A112" s="178" t="s">
        <v>373</v>
      </c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80"/>
    </row>
    <row r="113" spans="1:14" x14ac:dyDescent="0.25">
      <c r="A113" s="171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72"/>
    </row>
    <row r="114" spans="1:14" ht="18.75" x14ac:dyDescent="0.25">
      <c r="A114" s="173" t="s">
        <v>291</v>
      </c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74"/>
    </row>
    <row r="115" spans="1:14" x14ac:dyDescent="0.25">
      <c r="A115" s="175" t="s">
        <v>292</v>
      </c>
      <c r="B115" s="150" t="s">
        <v>293</v>
      </c>
      <c r="C115" s="157" t="s">
        <v>294</v>
      </c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76"/>
    </row>
    <row r="116" spans="1:14" x14ac:dyDescent="0.25">
      <c r="A116" s="175"/>
      <c r="B116" s="150"/>
      <c r="C116" s="30" t="s">
        <v>295</v>
      </c>
      <c r="D116" s="30" t="s">
        <v>296</v>
      </c>
      <c r="E116" s="30" t="s">
        <v>297</v>
      </c>
      <c r="F116" s="30" t="s">
        <v>298</v>
      </c>
      <c r="G116" s="30" t="s">
        <v>299</v>
      </c>
      <c r="H116" s="30" t="s">
        <v>300</v>
      </c>
      <c r="I116" s="30" t="s">
        <v>301</v>
      </c>
      <c r="J116" s="30" t="s">
        <v>302</v>
      </c>
      <c r="K116" s="30" t="s">
        <v>303</v>
      </c>
      <c r="L116" s="30" t="s">
        <v>304</v>
      </c>
      <c r="M116" s="30" t="s">
        <v>305</v>
      </c>
      <c r="N116" s="42" t="s">
        <v>306</v>
      </c>
    </row>
    <row r="117" spans="1:14" x14ac:dyDescent="0.25">
      <c r="A117" s="38">
        <v>62</v>
      </c>
      <c r="B117" s="5" t="s">
        <v>374</v>
      </c>
      <c r="C117" s="6">
        <v>0.29899999999999999</v>
      </c>
      <c r="D117" s="6">
        <v>0.29899999999999999</v>
      </c>
      <c r="E117" s="6">
        <v>0.29899999999999999</v>
      </c>
      <c r="F117" s="6">
        <v>0.29899999999999999</v>
      </c>
      <c r="G117" s="6">
        <v>0.29899999999999999</v>
      </c>
      <c r="H117" s="6">
        <v>0.29899999999999999</v>
      </c>
      <c r="I117" s="6">
        <v>0.29899999999999999</v>
      </c>
      <c r="J117" s="6">
        <v>0.29899999999999999</v>
      </c>
      <c r="K117" s="6">
        <v>0.29899999999999999</v>
      </c>
      <c r="L117" s="6">
        <v>0.29899999999999999</v>
      </c>
      <c r="M117" s="6">
        <v>0.29899999999999999</v>
      </c>
      <c r="N117" s="43">
        <v>0.29899999999999999</v>
      </c>
    </row>
    <row r="118" spans="1:14" x14ac:dyDescent="0.25">
      <c r="A118" s="53">
        <v>63</v>
      </c>
      <c r="B118" s="3" t="s">
        <v>76</v>
      </c>
      <c r="C118" s="7">
        <v>0.70099999999999996</v>
      </c>
      <c r="D118" s="7">
        <v>0.70099999999999996</v>
      </c>
      <c r="E118" s="7">
        <v>0.70099999999999996</v>
      </c>
      <c r="F118" s="7">
        <v>0.70099999999999996</v>
      </c>
      <c r="G118" s="7">
        <v>0.70099999999999996</v>
      </c>
      <c r="H118" s="7">
        <v>0.70099999999999996</v>
      </c>
      <c r="I118" s="7">
        <v>0.70099999999999996</v>
      </c>
      <c r="J118" s="7">
        <v>0.70099999999999996</v>
      </c>
      <c r="K118" s="7">
        <v>0.70099999999999996</v>
      </c>
      <c r="L118" s="7">
        <v>0.70099999999999996</v>
      </c>
      <c r="M118" s="7">
        <v>0.70099999999999996</v>
      </c>
      <c r="N118" s="54">
        <v>0.70099999999999996</v>
      </c>
    </row>
    <row r="119" spans="1:14" x14ac:dyDescent="0.25">
      <c r="A119" s="171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72"/>
    </row>
    <row r="120" spans="1:14" x14ac:dyDescent="0.25">
      <c r="A120" s="175" t="s">
        <v>292</v>
      </c>
      <c r="B120" s="150" t="s">
        <v>293</v>
      </c>
      <c r="C120" s="157" t="s">
        <v>308</v>
      </c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76"/>
    </row>
    <row r="121" spans="1:14" x14ac:dyDescent="0.25">
      <c r="A121" s="175"/>
      <c r="B121" s="150"/>
      <c r="C121" s="30" t="s">
        <v>295</v>
      </c>
      <c r="D121" s="30" t="s">
        <v>296</v>
      </c>
      <c r="E121" s="30" t="s">
        <v>297</v>
      </c>
      <c r="F121" s="30" t="s">
        <v>298</v>
      </c>
      <c r="G121" s="30" t="s">
        <v>299</v>
      </c>
      <c r="H121" s="30" t="s">
        <v>300</v>
      </c>
      <c r="I121" s="30" t="s">
        <v>301</v>
      </c>
      <c r="J121" s="30" t="s">
        <v>302</v>
      </c>
      <c r="K121" s="30" t="s">
        <v>303</v>
      </c>
      <c r="L121" s="30" t="s">
        <v>304</v>
      </c>
      <c r="M121" s="30" t="s">
        <v>305</v>
      </c>
      <c r="N121" s="42" t="s">
        <v>306</v>
      </c>
    </row>
    <row r="122" spans="1:14" x14ac:dyDescent="0.25">
      <c r="A122" s="38">
        <v>63</v>
      </c>
      <c r="B122" s="5" t="s">
        <v>76</v>
      </c>
      <c r="C122" s="29">
        <v>6.16</v>
      </c>
      <c r="D122" s="29">
        <v>5.63</v>
      </c>
      <c r="E122" s="29">
        <v>5.45</v>
      </c>
      <c r="F122" s="29">
        <v>4.63</v>
      </c>
      <c r="G122" s="29">
        <v>3.13</v>
      </c>
      <c r="H122" s="29">
        <v>3.23</v>
      </c>
      <c r="I122" s="29">
        <v>4.32</v>
      </c>
      <c r="J122" s="29">
        <v>5</v>
      </c>
      <c r="K122" s="29">
        <v>5.3</v>
      </c>
      <c r="L122" s="29">
        <v>6.74</v>
      </c>
      <c r="M122" s="29">
        <v>7.3</v>
      </c>
      <c r="N122" s="44">
        <v>6.35</v>
      </c>
    </row>
    <row r="123" spans="1:14" x14ac:dyDescent="0.25">
      <c r="A123" s="171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72"/>
    </row>
    <row r="124" spans="1:14" ht="18.75" x14ac:dyDescent="0.25">
      <c r="A124" s="173" t="s">
        <v>309</v>
      </c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74"/>
    </row>
    <row r="125" spans="1:14" x14ac:dyDescent="0.25">
      <c r="A125" s="175" t="s">
        <v>292</v>
      </c>
      <c r="B125" s="150" t="s">
        <v>293</v>
      </c>
      <c r="C125" s="150" t="s">
        <v>1</v>
      </c>
      <c r="D125" s="150" t="s">
        <v>2</v>
      </c>
      <c r="E125" s="150" t="s">
        <v>310</v>
      </c>
      <c r="F125" s="150"/>
      <c r="G125" s="150"/>
      <c r="H125" s="150"/>
      <c r="I125" s="30"/>
      <c r="J125" s="30"/>
      <c r="K125" s="30"/>
      <c r="L125" s="30"/>
      <c r="M125" s="30"/>
      <c r="N125" s="42"/>
    </row>
    <row r="126" spans="1:14" x14ac:dyDescent="0.25">
      <c r="A126" s="175"/>
      <c r="B126" s="150"/>
      <c r="C126" s="150"/>
      <c r="D126" s="150"/>
      <c r="E126" s="30" t="s">
        <v>292</v>
      </c>
      <c r="F126" s="30" t="s">
        <v>293</v>
      </c>
      <c r="G126" s="30" t="s">
        <v>1</v>
      </c>
      <c r="H126" s="30" t="s">
        <v>2</v>
      </c>
      <c r="I126" s="30"/>
      <c r="J126" s="30"/>
      <c r="K126" s="30"/>
      <c r="L126" s="30"/>
      <c r="M126" s="30"/>
      <c r="N126" s="42"/>
    </row>
    <row r="127" spans="1:14" x14ac:dyDescent="0.25">
      <c r="A127" s="15" t="s">
        <v>75</v>
      </c>
      <c r="B127" s="5" t="s">
        <v>76</v>
      </c>
      <c r="C127" s="35">
        <v>-22.5</v>
      </c>
      <c r="D127" s="35">
        <v>-52.87</v>
      </c>
      <c r="E127" s="34"/>
      <c r="F127" s="34"/>
      <c r="G127" s="34"/>
      <c r="H127" s="34"/>
      <c r="I127" s="34"/>
      <c r="J127" s="34"/>
      <c r="K127" s="34"/>
      <c r="L127" s="34"/>
      <c r="M127" s="34"/>
      <c r="N127" s="45"/>
    </row>
    <row r="128" spans="1:14" x14ac:dyDescent="0.25">
      <c r="A128" s="171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72"/>
    </row>
    <row r="129" spans="1:14" ht="18.75" x14ac:dyDescent="0.25">
      <c r="A129" s="173" t="s">
        <v>311</v>
      </c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74"/>
    </row>
    <row r="130" spans="1:14" x14ac:dyDescent="0.25">
      <c r="A130" s="175" t="s">
        <v>292</v>
      </c>
      <c r="B130" s="150" t="s">
        <v>293</v>
      </c>
      <c r="C130" s="151" t="s">
        <v>312</v>
      </c>
      <c r="D130" s="152"/>
      <c r="E130" s="152"/>
      <c r="F130" s="153"/>
      <c r="G130" s="151" t="s">
        <v>313</v>
      </c>
      <c r="H130" s="152"/>
      <c r="I130" s="152"/>
      <c r="J130" s="153"/>
      <c r="K130" s="30"/>
      <c r="L130" s="30"/>
      <c r="M130" s="30"/>
      <c r="N130" s="42"/>
    </row>
    <row r="131" spans="1:14" x14ac:dyDescent="0.25">
      <c r="A131" s="175"/>
      <c r="B131" s="150"/>
      <c r="C131" s="154"/>
      <c r="D131" s="155"/>
      <c r="E131" s="155"/>
      <c r="F131" s="156"/>
      <c r="G131" s="154"/>
      <c r="H131" s="155"/>
      <c r="I131" s="155"/>
      <c r="J131" s="156"/>
      <c r="K131" s="30"/>
      <c r="L131" s="30"/>
      <c r="M131" s="30"/>
      <c r="N131" s="42"/>
    </row>
    <row r="132" spans="1:14" ht="15.75" thickBot="1" x14ac:dyDescent="0.3">
      <c r="A132" s="49"/>
      <c r="B132" s="50"/>
      <c r="C132" s="177"/>
      <c r="D132" s="177"/>
      <c r="E132" s="177"/>
      <c r="F132" s="177"/>
      <c r="G132" s="177"/>
      <c r="H132" s="177"/>
      <c r="I132" s="177"/>
      <c r="J132" s="177"/>
      <c r="K132" s="51"/>
      <c r="L132" s="51"/>
      <c r="M132" s="51"/>
      <c r="N132" s="52"/>
    </row>
    <row r="133" spans="1:14" ht="15.75" thickTop="1" x14ac:dyDescent="0.25"/>
    <row r="134" spans="1:14" ht="18.75" x14ac:dyDescent="0.25">
      <c r="A134" s="168" t="s">
        <v>375</v>
      </c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70"/>
    </row>
    <row r="135" spans="1:14" x14ac:dyDescent="0.25">
      <c r="A135" s="171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72"/>
    </row>
    <row r="136" spans="1:14" ht="18.75" x14ac:dyDescent="0.25">
      <c r="A136" s="173" t="s">
        <v>291</v>
      </c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74"/>
    </row>
    <row r="137" spans="1:14" x14ac:dyDescent="0.25">
      <c r="A137" s="175" t="s">
        <v>292</v>
      </c>
      <c r="B137" s="150" t="s">
        <v>293</v>
      </c>
      <c r="C137" s="157" t="s">
        <v>294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76"/>
    </row>
    <row r="138" spans="1:14" x14ac:dyDescent="0.25">
      <c r="A138" s="175"/>
      <c r="B138" s="150"/>
      <c r="C138" s="30" t="s">
        <v>295</v>
      </c>
      <c r="D138" s="30" t="s">
        <v>296</v>
      </c>
      <c r="E138" s="30" t="s">
        <v>297</v>
      </c>
      <c r="F138" s="30" t="s">
        <v>298</v>
      </c>
      <c r="G138" s="30" t="s">
        <v>299</v>
      </c>
      <c r="H138" s="30" t="s">
        <v>300</v>
      </c>
      <c r="I138" s="30" t="s">
        <v>301</v>
      </c>
      <c r="J138" s="30" t="s">
        <v>302</v>
      </c>
      <c r="K138" s="30" t="s">
        <v>303</v>
      </c>
      <c r="L138" s="30" t="s">
        <v>304</v>
      </c>
      <c r="M138" s="30" t="s">
        <v>305</v>
      </c>
      <c r="N138" s="42" t="s">
        <v>306</v>
      </c>
    </row>
    <row r="139" spans="1:14" x14ac:dyDescent="0.25">
      <c r="A139" s="38">
        <v>34</v>
      </c>
      <c r="B139" s="5" t="s">
        <v>376</v>
      </c>
      <c r="C139" s="6">
        <v>0.94</v>
      </c>
      <c r="D139" s="6">
        <v>0.94</v>
      </c>
      <c r="E139" s="6">
        <v>0.94</v>
      </c>
      <c r="F139" s="6">
        <v>0.94</v>
      </c>
      <c r="G139" s="6">
        <v>0.94</v>
      </c>
      <c r="H139" s="6">
        <v>0.94</v>
      </c>
      <c r="I139" s="6">
        <v>0.94</v>
      </c>
      <c r="J139" s="6">
        <v>0.94</v>
      </c>
      <c r="K139" s="6">
        <v>0.94</v>
      </c>
      <c r="L139" s="6">
        <v>0.94</v>
      </c>
      <c r="M139" s="6">
        <v>0.94</v>
      </c>
      <c r="N139" s="6">
        <v>0.94</v>
      </c>
    </row>
    <row r="140" spans="1:14" x14ac:dyDescent="0.25">
      <c r="A140" s="47">
        <v>244</v>
      </c>
      <c r="B140" s="3" t="s">
        <v>377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</row>
    <row r="141" spans="1:14" x14ac:dyDescent="0.25">
      <c r="A141" s="38">
        <v>243</v>
      </c>
      <c r="B141" s="5" t="s">
        <v>378</v>
      </c>
      <c r="C141" s="6">
        <v>0.06</v>
      </c>
      <c r="D141" s="6">
        <v>0.06</v>
      </c>
      <c r="E141" s="6">
        <v>0.06</v>
      </c>
      <c r="F141" s="6">
        <v>0.06</v>
      </c>
      <c r="G141" s="6">
        <v>0.06</v>
      </c>
      <c r="H141" s="6">
        <v>0.06</v>
      </c>
      <c r="I141" s="6">
        <v>0.06</v>
      </c>
      <c r="J141" s="6">
        <v>0.06</v>
      </c>
      <c r="K141" s="6">
        <v>0.06</v>
      </c>
      <c r="L141" s="6">
        <v>0.06</v>
      </c>
      <c r="M141" s="6">
        <v>0.06</v>
      </c>
      <c r="N141" s="6">
        <v>0.06</v>
      </c>
    </row>
    <row r="142" spans="1:14" x14ac:dyDescent="0.25">
      <c r="A142" s="171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72"/>
    </row>
    <row r="143" spans="1:14" x14ac:dyDescent="0.25">
      <c r="A143" s="175" t="s">
        <v>292</v>
      </c>
      <c r="B143" s="150" t="s">
        <v>293</v>
      </c>
      <c r="C143" s="157" t="s">
        <v>308</v>
      </c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76"/>
    </row>
    <row r="144" spans="1:14" x14ac:dyDescent="0.25">
      <c r="A144" s="175"/>
      <c r="B144" s="150"/>
      <c r="C144" s="30" t="s">
        <v>295</v>
      </c>
      <c r="D144" s="30" t="s">
        <v>296</v>
      </c>
      <c r="E144" s="30" t="s">
        <v>297</v>
      </c>
      <c r="F144" s="30" t="s">
        <v>298</v>
      </c>
      <c r="G144" s="30" t="s">
        <v>299</v>
      </c>
      <c r="H144" s="30" t="s">
        <v>300</v>
      </c>
      <c r="I144" s="30" t="s">
        <v>301</v>
      </c>
      <c r="J144" s="30" t="s">
        <v>302</v>
      </c>
      <c r="K144" s="30" t="s">
        <v>303</v>
      </c>
      <c r="L144" s="30" t="s">
        <v>304</v>
      </c>
      <c r="M144" s="30" t="s">
        <v>305</v>
      </c>
      <c r="N144" s="42" t="s">
        <v>306</v>
      </c>
    </row>
    <row r="145" spans="1:14" x14ac:dyDescent="0.25">
      <c r="A145" s="87">
        <v>244</v>
      </c>
      <c r="B145" s="80" t="s">
        <v>377</v>
      </c>
      <c r="C145" s="6">
        <v>5.97</v>
      </c>
      <c r="D145" s="6">
        <v>6.39</v>
      </c>
      <c r="E145" s="6">
        <v>5.81</v>
      </c>
      <c r="F145" s="6">
        <v>4.93</v>
      </c>
      <c r="G145" s="6">
        <v>4.2300000000000004</v>
      </c>
      <c r="H145" s="6">
        <v>3.9</v>
      </c>
      <c r="I145" s="6">
        <v>4.55</v>
      </c>
      <c r="J145" s="6">
        <v>5.61</v>
      </c>
      <c r="K145" s="6">
        <v>5.97</v>
      </c>
      <c r="L145" s="6">
        <v>6.81</v>
      </c>
      <c r="M145" s="6">
        <v>6.73</v>
      </c>
      <c r="N145" s="6">
        <v>5.94</v>
      </c>
    </row>
    <row r="146" spans="1:14" x14ac:dyDescent="0.25">
      <c r="A146" s="194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6"/>
    </row>
    <row r="147" spans="1:14" ht="18.75" x14ac:dyDescent="0.25">
      <c r="A147" s="173" t="s">
        <v>309</v>
      </c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74"/>
    </row>
    <row r="148" spans="1:14" x14ac:dyDescent="0.25">
      <c r="A148" s="175" t="s">
        <v>292</v>
      </c>
      <c r="B148" s="150" t="s">
        <v>293</v>
      </c>
      <c r="C148" s="150" t="s">
        <v>1</v>
      </c>
      <c r="D148" s="150" t="s">
        <v>2</v>
      </c>
      <c r="E148" s="150" t="s">
        <v>310</v>
      </c>
      <c r="F148" s="150"/>
      <c r="G148" s="150"/>
      <c r="H148" s="150"/>
      <c r="I148" s="30"/>
      <c r="J148" s="30"/>
      <c r="K148" s="30"/>
      <c r="L148" s="30"/>
      <c r="M148" s="30"/>
      <c r="N148" s="42"/>
    </row>
    <row r="149" spans="1:14" x14ac:dyDescent="0.25">
      <c r="A149" s="175"/>
      <c r="B149" s="150"/>
      <c r="C149" s="150"/>
      <c r="D149" s="150"/>
      <c r="E149" s="30" t="s">
        <v>292</v>
      </c>
      <c r="F149" s="30" t="s">
        <v>293</v>
      </c>
      <c r="G149" s="30" t="s">
        <v>1</v>
      </c>
      <c r="H149" s="30" t="s">
        <v>2</v>
      </c>
      <c r="I149" s="30"/>
      <c r="J149" s="30"/>
      <c r="K149" s="30"/>
      <c r="L149" s="30"/>
      <c r="M149" s="30"/>
      <c r="N149" s="42"/>
    </row>
    <row r="150" spans="1:14" x14ac:dyDescent="0.25">
      <c r="A150" s="15" t="s">
        <v>121</v>
      </c>
      <c r="B150" s="5" t="s">
        <v>122</v>
      </c>
      <c r="C150" s="35">
        <v>-20.399999999999999</v>
      </c>
      <c r="D150" s="35">
        <v>-51.35</v>
      </c>
      <c r="E150" s="73"/>
      <c r="F150" s="84"/>
      <c r="G150" s="73"/>
      <c r="H150" s="73"/>
      <c r="I150" s="73"/>
      <c r="J150" s="73"/>
      <c r="K150" s="73"/>
      <c r="L150" s="73"/>
      <c r="M150" s="73"/>
      <c r="N150" s="74"/>
    </row>
    <row r="151" spans="1:14" x14ac:dyDescent="0.25">
      <c r="A151" s="171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72"/>
    </row>
    <row r="152" spans="1:14" ht="18.75" x14ac:dyDescent="0.25">
      <c r="A152" s="173" t="s">
        <v>311</v>
      </c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74"/>
    </row>
    <row r="153" spans="1:14" x14ac:dyDescent="0.25">
      <c r="A153" s="175" t="s">
        <v>292</v>
      </c>
      <c r="B153" s="150" t="s">
        <v>293</v>
      </c>
      <c r="C153" s="151" t="s">
        <v>312</v>
      </c>
      <c r="D153" s="152"/>
      <c r="E153" s="152"/>
      <c r="F153" s="153"/>
      <c r="G153" s="151" t="s">
        <v>313</v>
      </c>
      <c r="H153" s="152"/>
      <c r="I153" s="152"/>
      <c r="J153" s="153"/>
      <c r="K153" s="30"/>
      <c r="L153" s="30"/>
      <c r="M153" s="30"/>
      <c r="N153" s="42"/>
    </row>
    <row r="154" spans="1:14" x14ac:dyDescent="0.25">
      <c r="A154" s="175"/>
      <c r="B154" s="150"/>
      <c r="C154" s="154"/>
      <c r="D154" s="155"/>
      <c r="E154" s="155"/>
      <c r="F154" s="156"/>
      <c r="G154" s="154"/>
      <c r="H154" s="155"/>
      <c r="I154" s="155"/>
      <c r="J154" s="156"/>
      <c r="K154" s="30"/>
      <c r="L154" s="30"/>
      <c r="M154" s="30"/>
      <c r="N154" s="42"/>
    </row>
    <row r="155" spans="1:14" ht="15.75" thickBot="1" x14ac:dyDescent="0.3">
      <c r="A155" s="49"/>
      <c r="B155" s="50"/>
      <c r="C155" s="177"/>
      <c r="D155" s="177"/>
      <c r="E155" s="177"/>
      <c r="F155" s="177"/>
      <c r="G155" s="177"/>
      <c r="H155" s="177"/>
      <c r="I155" s="177"/>
      <c r="J155" s="177"/>
      <c r="K155" s="51"/>
      <c r="L155" s="51"/>
      <c r="M155" s="51"/>
      <c r="N155" s="52"/>
    </row>
    <row r="156" spans="1:14" ht="15.75" thickTop="1" x14ac:dyDescent="0.25">
      <c r="A156" s="197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9"/>
    </row>
    <row r="157" spans="1:14" ht="18.75" x14ac:dyDescent="0.25">
      <c r="A157" s="168" t="s">
        <v>379</v>
      </c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70"/>
    </row>
    <row r="158" spans="1:14" x14ac:dyDescent="0.25">
      <c r="A158" s="171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72"/>
    </row>
    <row r="159" spans="1:14" ht="18.75" x14ac:dyDescent="0.25">
      <c r="A159" s="173" t="s">
        <v>291</v>
      </c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74"/>
    </row>
    <row r="160" spans="1:14" x14ac:dyDescent="0.25">
      <c r="A160" s="175" t="s">
        <v>292</v>
      </c>
      <c r="B160" s="150" t="s">
        <v>293</v>
      </c>
      <c r="C160" s="157" t="s">
        <v>294</v>
      </c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76"/>
    </row>
    <row r="161" spans="1:14" x14ac:dyDescent="0.25">
      <c r="A161" s="175"/>
      <c r="B161" s="150"/>
      <c r="C161" s="30" t="s">
        <v>295</v>
      </c>
      <c r="D161" s="30" t="s">
        <v>296</v>
      </c>
      <c r="E161" s="30" t="s">
        <v>297</v>
      </c>
      <c r="F161" s="30" t="s">
        <v>298</v>
      </c>
      <c r="G161" s="30" t="s">
        <v>299</v>
      </c>
      <c r="H161" s="30" t="s">
        <v>300</v>
      </c>
      <c r="I161" s="30" t="s">
        <v>301</v>
      </c>
      <c r="J161" s="30" t="s">
        <v>302</v>
      </c>
      <c r="K161" s="30" t="s">
        <v>303</v>
      </c>
      <c r="L161" s="30" t="s">
        <v>304</v>
      </c>
      <c r="M161" s="30" t="s">
        <v>305</v>
      </c>
      <c r="N161" s="42" t="s">
        <v>306</v>
      </c>
    </row>
    <row r="162" spans="1:14" x14ac:dyDescent="0.25">
      <c r="A162" s="38">
        <v>245</v>
      </c>
      <c r="B162" s="5" t="s">
        <v>124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43"/>
    </row>
    <row r="163" spans="1:14" x14ac:dyDescent="0.25">
      <c r="A163" s="171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72"/>
    </row>
    <row r="164" spans="1:14" x14ac:dyDescent="0.25">
      <c r="A164" s="175" t="s">
        <v>292</v>
      </c>
      <c r="B164" s="150" t="s">
        <v>293</v>
      </c>
      <c r="C164" s="157" t="s">
        <v>308</v>
      </c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76"/>
    </row>
    <row r="165" spans="1:14" x14ac:dyDescent="0.25">
      <c r="A165" s="175"/>
      <c r="B165" s="150"/>
      <c r="C165" s="30" t="s">
        <v>295</v>
      </c>
      <c r="D165" s="30" t="s">
        <v>296</v>
      </c>
      <c r="E165" s="30" t="s">
        <v>297</v>
      </c>
      <c r="F165" s="30" t="s">
        <v>298</v>
      </c>
      <c r="G165" s="30" t="s">
        <v>299</v>
      </c>
      <c r="H165" s="30" t="s">
        <v>300</v>
      </c>
      <c r="I165" s="30" t="s">
        <v>301</v>
      </c>
      <c r="J165" s="30" t="s">
        <v>302</v>
      </c>
      <c r="K165" s="30" t="s">
        <v>303</v>
      </c>
      <c r="L165" s="30" t="s">
        <v>304</v>
      </c>
      <c r="M165" s="30" t="s">
        <v>305</v>
      </c>
      <c r="N165" s="42" t="s">
        <v>306</v>
      </c>
    </row>
    <row r="166" spans="1:14" x14ac:dyDescent="0.25">
      <c r="A166" s="87">
        <v>245</v>
      </c>
      <c r="B166" s="80" t="s">
        <v>124</v>
      </c>
      <c r="C166" s="91">
        <v>6.13</v>
      </c>
      <c r="D166" s="91">
        <v>6.32</v>
      </c>
      <c r="E166" s="91">
        <v>5.81</v>
      </c>
      <c r="F166" s="91">
        <v>4.9000000000000004</v>
      </c>
      <c r="G166" s="91">
        <v>4.13</v>
      </c>
      <c r="H166" s="91">
        <v>3.73</v>
      </c>
      <c r="I166" s="91">
        <v>4.26</v>
      </c>
      <c r="J166" s="91">
        <v>5.32</v>
      </c>
      <c r="K166" s="91">
        <v>5.73</v>
      </c>
      <c r="L166" s="91">
        <v>6.71</v>
      </c>
      <c r="M166" s="91">
        <v>6.73</v>
      </c>
      <c r="N166" s="92">
        <v>6.03</v>
      </c>
    </row>
    <row r="167" spans="1:14" x14ac:dyDescent="0.25">
      <c r="A167" s="171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72"/>
    </row>
    <row r="168" spans="1:14" ht="18.75" x14ac:dyDescent="0.25">
      <c r="A168" s="173" t="s">
        <v>309</v>
      </c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74"/>
    </row>
    <row r="169" spans="1:14" x14ac:dyDescent="0.25">
      <c r="A169" s="175" t="s">
        <v>292</v>
      </c>
      <c r="B169" s="150" t="s">
        <v>293</v>
      </c>
      <c r="C169" s="150" t="s">
        <v>1</v>
      </c>
      <c r="D169" s="150" t="s">
        <v>2</v>
      </c>
      <c r="E169" s="150" t="s">
        <v>310</v>
      </c>
      <c r="F169" s="150"/>
      <c r="G169" s="150"/>
      <c r="H169" s="150"/>
      <c r="I169" s="30"/>
      <c r="J169" s="30"/>
      <c r="K169" s="30"/>
      <c r="L169" s="30"/>
      <c r="M169" s="30"/>
      <c r="N169" s="42"/>
    </row>
    <row r="170" spans="1:14" x14ac:dyDescent="0.25">
      <c r="A170" s="175"/>
      <c r="B170" s="150"/>
      <c r="C170" s="150"/>
      <c r="D170" s="150"/>
      <c r="E170" s="30" t="s">
        <v>292</v>
      </c>
      <c r="F170" s="30" t="s">
        <v>293</v>
      </c>
      <c r="G170" s="30" t="s">
        <v>1</v>
      </c>
      <c r="H170" s="30" t="s">
        <v>2</v>
      </c>
      <c r="I170" s="30"/>
      <c r="J170" s="30"/>
      <c r="K170" s="30"/>
      <c r="L170" s="30"/>
      <c r="M170" s="30"/>
      <c r="N170" s="42"/>
    </row>
    <row r="171" spans="1:14" x14ac:dyDescent="0.25">
      <c r="A171" s="15" t="s">
        <v>123</v>
      </c>
      <c r="B171" s="5" t="s">
        <v>124</v>
      </c>
      <c r="C171" s="35">
        <v>-20.86</v>
      </c>
      <c r="D171" s="35">
        <v>-51.63</v>
      </c>
      <c r="E171" s="73"/>
      <c r="F171" s="84"/>
      <c r="G171" s="73"/>
      <c r="H171" s="73"/>
      <c r="I171" s="73"/>
      <c r="J171" s="73"/>
      <c r="K171" s="73"/>
      <c r="L171" s="73"/>
      <c r="M171" s="73"/>
      <c r="N171" s="74"/>
    </row>
    <row r="172" spans="1:14" x14ac:dyDescent="0.25">
      <c r="A172" s="171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72"/>
    </row>
    <row r="173" spans="1:14" ht="18.75" x14ac:dyDescent="0.25">
      <c r="A173" s="173" t="s">
        <v>311</v>
      </c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74"/>
    </row>
    <row r="174" spans="1:14" x14ac:dyDescent="0.25">
      <c r="A174" s="175" t="s">
        <v>292</v>
      </c>
      <c r="B174" s="150" t="s">
        <v>293</v>
      </c>
      <c r="C174" s="151" t="s">
        <v>312</v>
      </c>
      <c r="D174" s="152"/>
      <c r="E174" s="152"/>
      <c r="F174" s="153"/>
      <c r="G174" s="151" t="s">
        <v>313</v>
      </c>
      <c r="H174" s="152"/>
      <c r="I174" s="152"/>
      <c r="J174" s="153"/>
      <c r="K174" s="30"/>
      <c r="L174" s="30"/>
      <c r="M174" s="30"/>
      <c r="N174" s="42"/>
    </row>
    <row r="175" spans="1:14" x14ac:dyDescent="0.25">
      <c r="A175" s="175"/>
      <c r="B175" s="150"/>
      <c r="C175" s="154"/>
      <c r="D175" s="155"/>
      <c r="E175" s="155"/>
      <c r="F175" s="156"/>
      <c r="G175" s="154"/>
      <c r="H175" s="155"/>
      <c r="I175" s="155"/>
      <c r="J175" s="156"/>
      <c r="K175" s="30"/>
      <c r="L175" s="30"/>
      <c r="M175" s="30"/>
      <c r="N175" s="42"/>
    </row>
    <row r="176" spans="1:14" ht="15.75" thickBot="1" x14ac:dyDescent="0.3">
      <c r="A176" s="49"/>
      <c r="B176" s="50"/>
      <c r="C176" s="177"/>
      <c r="D176" s="177"/>
      <c r="E176" s="177"/>
      <c r="F176" s="177"/>
      <c r="G176" s="177"/>
      <c r="H176" s="177"/>
      <c r="I176" s="177"/>
      <c r="J176" s="177"/>
      <c r="K176" s="51"/>
      <c r="L176" s="51"/>
      <c r="M176" s="51"/>
      <c r="N176" s="52"/>
    </row>
    <row r="177" spans="1:14" ht="15.75" thickTop="1" x14ac:dyDescent="0.25">
      <c r="A177" s="197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9"/>
    </row>
    <row r="178" spans="1:14" ht="18.75" x14ac:dyDescent="0.25">
      <c r="A178" s="168" t="s">
        <v>380</v>
      </c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70"/>
    </row>
    <row r="179" spans="1:14" x14ac:dyDescent="0.25">
      <c r="A179" s="171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72"/>
    </row>
    <row r="180" spans="1:14" ht="18.75" x14ac:dyDescent="0.25">
      <c r="A180" s="173" t="s">
        <v>291</v>
      </c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74"/>
    </row>
    <row r="181" spans="1:14" x14ac:dyDescent="0.25">
      <c r="A181" s="175" t="s">
        <v>292</v>
      </c>
      <c r="B181" s="150" t="s">
        <v>293</v>
      </c>
      <c r="C181" s="157" t="s">
        <v>294</v>
      </c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76"/>
    </row>
    <row r="182" spans="1:14" x14ac:dyDescent="0.25">
      <c r="A182" s="175"/>
      <c r="B182" s="150"/>
      <c r="C182" s="30" t="s">
        <v>295</v>
      </c>
      <c r="D182" s="30" t="s">
        <v>296</v>
      </c>
      <c r="E182" s="30" t="s">
        <v>297</v>
      </c>
      <c r="F182" s="30" t="s">
        <v>298</v>
      </c>
      <c r="G182" s="30" t="s">
        <v>299</v>
      </c>
      <c r="H182" s="30" t="s">
        <v>300</v>
      </c>
      <c r="I182" s="30" t="s">
        <v>301</v>
      </c>
      <c r="J182" s="30" t="s">
        <v>302</v>
      </c>
      <c r="K182" s="30" t="s">
        <v>303</v>
      </c>
      <c r="L182" s="30" t="s">
        <v>304</v>
      </c>
      <c r="M182" s="30" t="s">
        <v>305</v>
      </c>
      <c r="N182" s="42" t="s">
        <v>306</v>
      </c>
    </row>
    <row r="183" spans="1:14" x14ac:dyDescent="0.25">
      <c r="A183" s="38">
        <v>154</v>
      </c>
      <c r="B183" s="5" t="s">
        <v>381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43"/>
    </row>
    <row r="184" spans="1:14" x14ac:dyDescent="0.25">
      <c r="A184" s="171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72"/>
    </row>
    <row r="185" spans="1:14" x14ac:dyDescent="0.25">
      <c r="A185" s="175" t="s">
        <v>292</v>
      </c>
      <c r="B185" s="150" t="s">
        <v>293</v>
      </c>
      <c r="C185" s="157" t="s">
        <v>308</v>
      </c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76"/>
    </row>
    <row r="186" spans="1:14" x14ac:dyDescent="0.25">
      <c r="A186" s="175"/>
      <c r="B186" s="150"/>
      <c r="C186" s="30" t="s">
        <v>295</v>
      </c>
      <c r="D186" s="30" t="s">
        <v>296</v>
      </c>
      <c r="E186" s="30" t="s">
        <v>297</v>
      </c>
      <c r="F186" s="30" t="s">
        <v>298</v>
      </c>
      <c r="G186" s="30" t="s">
        <v>299</v>
      </c>
      <c r="H186" s="30" t="s">
        <v>300</v>
      </c>
      <c r="I186" s="30" t="s">
        <v>301</v>
      </c>
      <c r="J186" s="30" t="s">
        <v>302</v>
      </c>
      <c r="K186" s="30" t="s">
        <v>303</v>
      </c>
      <c r="L186" s="30" t="s">
        <v>304</v>
      </c>
      <c r="M186" s="30" t="s">
        <v>305</v>
      </c>
      <c r="N186" s="42" t="s">
        <v>306</v>
      </c>
    </row>
    <row r="187" spans="1:14" x14ac:dyDescent="0.25">
      <c r="A187" s="38">
        <v>154</v>
      </c>
      <c r="B187" s="5" t="s">
        <v>381</v>
      </c>
      <c r="C187" s="91">
        <v>6.13</v>
      </c>
      <c r="D187" s="91">
        <v>6.32</v>
      </c>
      <c r="E187" s="91">
        <v>5.81</v>
      </c>
      <c r="F187" s="91">
        <v>4.9000000000000004</v>
      </c>
      <c r="G187" s="91">
        <v>4.13</v>
      </c>
      <c r="H187" s="91">
        <v>3.73</v>
      </c>
      <c r="I187" s="91">
        <v>4.26</v>
      </c>
      <c r="J187" s="91">
        <v>5.32</v>
      </c>
      <c r="K187" s="91">
        <v>5.73</v>
      </c>
      <c r="L187" s="91">
        <v>6.71</v>
      </c>
      <c r="M187" s="91">
        <v>6.73</v>
      </c>
      <c r="N187" s="92">
        <v>6.03</v>
      </c>
    </row>
    <row r="188" spans="1:14" x14ac:dyDescent="0.25">
      <c r="A188" s="194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6"/>
    </row>
    <row r="189" spans="1:14" ht="18.75" x14ac:dyDescent="0.25">
      <c r="A189" s="173" t="s">
        <v>309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4"/>
    </row>
    <row r="190" spans="1:14" x14ac:dyDescent="0.25">
      <c r="A190" s="175" t="s">
        <v>292</v>
      </c>
      <c r="B190" s="150" t="s">
        <v>293</v>
      </c>
      <c r="C190" s="150" t="s">
        <v>1</v>
      </c>
      <c r="D190" s="150" t="s">
        <v>2</v>
      </c>
      <c r="E190" s="150" t="s">
        <v>310</v>
      </c>
      <c r="F190" s="150"/>
      <c r="G190" s="150"/>
      <c r="H190" s="150"/>
      <c r="I190" s="30"/>
      <c r="J190" s="30"/>
      <c r="K190" s="30"/>
      <c r="L190" s="30"/>
      <c r="M190" s="30"/>
      <c r="N190" s="42"/>
    </row>
    <row r="191" spans="1:14" x14ac:dyDescent="0.25">
      <c r="A191" s="175"/>
      <c r="B191" s="150"/>
      <c r="C191" s="150"/>
      <c r="D191" s="150"/>
      <c r="E191" s="30" t="s">
        <v>292</v>
      </c>
      <c r="F191" s="30" t="s">
        <v>293</v>
      </c>
      <c r="G191" s="30" t="s">
        <v>1</v>
      </c>
      <c r="H191" s="30" t="s">
        <v>2</v>
      </c>
      <c r="I191" s="30"/>
      <c r="J191" s="30"/>
      <c r="K191" s="30"/>
      <c r="L191" s="30"/>
      <c r="M191" s="30"/>
      <c r="N191" s="42"/>
    </row>
    <row r="192" spans="1:14" x14ac:dyDescent="0.25">
      <c r="A192" s="15" t="s">
        <v>125</v>
      </c>
      <c r="B192" s="5" t="s">
        <v>126</v>
      </c>
      <c r="C192" s="35">
        <v>-20.059999999999999</v>
      </c>
      <c r="D192" s="35">
        <v>-53.18</v>
      </c>
      <c r="E192" s="81"/>
      <c r="F192" s="93"/>
      <c r="G192" s="81"/>
      <c r="H192" s="81"/>
      <c r="I192" s="73"/>
      <c r="J192" s="73"/>
      <c r="K192" s="73"/>
      <c r="L192" s="73"/>
      <c r="M192" s="73"/>
      <c r="N192" s="74"/>
    </row>
    <row r="193" spans="1:14" x14ac:dyDescent="0.25">
      <c r="A193" s="171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72"/>
    </row>
    <row r="194" spans="1:14" ht="18.75" x14ac:dyDescent="0.25">
      <c r="A194" s="173" t="s">
        <v>311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4"/>
    </row>
    <row r="195" spans="1:14" x14ac:dyDescent="0.25">
      <c r="A195" s="175" t="s">
        <v>292</v>
      </c>
      <c r="B195" s="150" t="s">
        <v>293</v>
      </c>
      <c r="C195" s="151" t="s">
        <v>312</v>
      </c>
      <c r="D195" s="152"/>
      <c r="E195" s="152"/>
      <c r="F195" s="153"/>
      <c r="G195" s="151" t="s">
        <v>313</v>
      </c>
      <c r="H195" s="152"/>
      <c r="I195" s="152"/>
      <c r="J195" s="153"/>
      <c r="K195" s="30"/>
      <c r="L195" s="30"/>
      <c r="M195" s="30"/>
      <c r="N195" s="42"/>
    </row>
    <row r="196" spans="1:14" x14ac:dyDescent="0.25">
      <c r="A196" s="175"/>
      <c r="B196" s="150"/>
      <c r="C196" s="154"/>
      <c r="D196" s="155"/>
      <c r="E196" s="155"/>
      <c r="F196" s="156"/>
      <c r="G196" s="154"/>
      <c r="H196" s="155"/>
      <c r="I196" s="155"/>
      <c r="J196" s="156"/>
      <c r="K196" s="30"/>
      <c r="L196" s="30"/>
      <c r="M196" s="30"/>
      <c r="N196" s="42"/>
    </row>
    <row r="197" spans="1:14" ht="15.75" thickBot="1" x14ac:dyDescent="0.3">
      <c r="A197" s="49"/>
      <c r="B197" s="50"/>
      <c r="C197" s="177"/>
      <c r="D197" s="177"/>
      <c r="E197" s="177"/>
      <c r="F197" s="177"/>
      <c r="G197" s="177"/>
      <c r="H197" s="177"/>
      <c r="I197" s="177"/>
      <c r="J197" s="177"/>
      <c r="K197" s="51"/>
      <c r="L197" s="51"/>
      <c r="M197" s="51"/>
      <c r="N197" s="52"/>
    </row>
    <row r="198" spans="1:14" ht="15.75" thickTop="1" x14ac:dyDescent="0.25">
      <c r="A198" s="197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9"/>
    </row>
    <row r="199" spans="1:14" ht="18.75" x14ac:dyDescent="0.25">
      <c r="A199" s="168" t="s">
        <v>382</v>
      </c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70"/>
    </row>
    <row r="200" spans="1:14" x14ac:dyDescent="0.25">
      <c r="A200" s="171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72"/>
    </row>
    <row r="201" spans="1:14" ht="18.75" x14ac:dyDescent="0.25">
      <c r="A201" s="173" t="s">
        <v>291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4"/>
    </row>
    <row r="202" spans="1:14" x14ac:dyDescent="0.25">
      <c r="A202" s="175" t="s">
        <v>292</v>
      </c>
      <c r="B202" s="150" t="s">
        <v>293</v>
      </c>
      <c r="C202" s="157" t="s">
        <v>294</v>
      </c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76"/>
    </row>
    <row r="203" spans="1:14" x14ac:dyDescent="0.25">
      <c r="A203" s="175"/>
      <c r="B203" s="150"/>
      <c r="C203" s="30" t="s">
        <v>295</v>
      </c>
      <c r="D203" s="30" t="s">
        <v>296</v>
      </c>
      <c r="E203" s="30" t="s">
        <v>297</v>
      </c>
      <c r="F203" s="30" t="s">
        <v>298</v>
      </c>
      <c r="G203" s="30" t="s">
        <v>299</v>
      </c>
      <c r="H203" s="30" t="s">
        <v>300</v>
      </c>
      <c r="I203" s="30" t="s">
        <v>301</v>
      </c>
      <c r="J203" s="30" t="s">
        <v>302</v>
      </c>
      <c r="K203" s="30" t="s">
        <v>303</v>
      </c>
      <c r="L203" s="30" t="s">
        <v>304</v>
      </c>
      <c r="M203" s="30" t="s">
        <v>305</v>
      </c>
      <c r="N203" s="42" t="s">
        <v>306</v>
      </c>
    </row>
    <row r="204" spans="1:14" x14ac:dyDescent="0.25">
      <c r="A204" s="38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43"/>
    </row>
    <row r="205" spans="1:14" x14ac:dyDescent="0.25">
      <c r="A205" s="171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72"/>
    </row>
    <row r="206" spans="1:14" x14ac:dyDescent="0.25">
      <c r="A206" s="175" t="s">
        <v>292</v>
      </c>
      <c r="B206" s="150" t="s">
        <v>293</v>
      </c>
      <c r="C206" s="157" t="s">
        <v>308</v>
      </c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76"/>
    </row>
    <row r="207" spans="1:14" x14ac:dyDescent="0.25">
      <c r="A207" s="175"/>
      <c r="B207" s="150"/>
      <c r="C207" s="30" t="s">
        <v>295</v>
      </c>
      <c r="D207" s="30" t="s">
        <v>296</v>
      </c>
      <c r="E207" s="30" t="s">
        <v>297</v>
      </c>
      <c r="F207" s="30" t="s">
        <v>298</v>
      </c>
      <c r="G207" s="30" t="s">
        <v>299</v>
      </c>
      <c r="H207" s="30" t="s">
        <v>300</v>
      </c>
      <c r="I207" s="30" t="s">
        <v>301</v>
      </c>
      <c r="J207" s="30" t="s">
        <v>302</v>
      </c>
      <c r="K207" s="30" t="s">
        <v>303</v>
      </c>
      <c r="L207" s="30" t="s">
        <v>304</v>
      </c>
      <c r="M207" s="30" t="s">
        <v>305</v>
      </c>
      <c r="N207" s="42" t="s">
        <v>306</v>
      </c>
    </row>
    <row r="208" spans="1:14" x14ac:dyDescent="0.25">
      <c r="A208" s="87">
        <v>63968000</v>
      </c>
      <c r="B208" s="80" t="s">
        <v>128</v>
      </c>
      <c r="C208" s="91">
        <v>5.87</v>
      </c>
      <c r="D208" s="91">
        <v>5.79</v>
      </c>
      <c r="E208" s="91">
        <v>4.9400000000000004</v>
      </c>
      <c r="F208" s="91">
        <v>3.77</v>
      </c>
      <c r="G208" s="91">
        <v>3.32</v>
      </c>
      <c r="H208" s="91">
        <v>2.93</v>
      </c>
      <c r="I208" s="91">
        <v>3.29</v>
      </c>
      <c r="J208" s="91">
        <v>4.13</v>
      </c>
      <c r="K208" s="91">
        <v>4.53</v>
      </c>
      <c r="L208" s="91">
        <v>5.39</v>
      </c>
      <c r="M208" s="91">
        <v>6.2</v>
      </c>
      <c r="N208" s="92">
        <v>5.9</v>
      </c>
    </row>
    <row r="209" spans="1:14" x14ac:dyDescent="0.25">
      <c r="A209" s="171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72"/>
    </row>
    <row r="210" spans="1:14" ht="18.75" x14ac:dyDescent="0.25">
      <c r="A210" s="173" t="s">
        <v>309</v>
      </c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74"/>
    </row>
    <row r="211" spans="1:14" x14ac:dyDescent="0.25">
      <c r="A211" s="175" t="s">
        <v>292</v>
      </c>
      <c r="B211" s="150" t="s">
        <v>293</v>
      </c>
      <c r="C211" s="150" t="s">
        <v>1</v>
      </c>
      <c r="D211" s="150" t="s">
        <v>2</v>
      </c>
      <c r="E211" s="150" t="s">
        <v>310</v>
      </c>
      <c r="F211" s="150"/>
      <c r="G211" s="150"/>
      <c r="H211" s="150"/>
      <c r="I211" s="30"/>
      <c r="J211" s="30"/>
      <c r="K211" s="30"/>
      <c r="L211" s="30"/>
      <c r="M211" s="30"/>
      <c r="N211" s="42"/>
    </row>
    <row r="212" spans="1:14" x14ac:dyDescent="0.25">
      <c r="A212" s="175"/>
      <c r="B212" s="150"/>
      <c r="C212" s="150"/>
      <c r="D212" s="150"/>
      <c r="E212" s="30" t="s">
        <v>292</v>
      </c>
      <c r="F212" s="30" t="s">
        <v>293</v>
      </c>
      <c r="G212" s="30" t="s">
        <v>1</v>
      </c>
      <c r="H212" s="30" t="s">
        <v>2</v>
      </c>
      <c r="I212" s="30"/>
      <c r="J212" s="30"/>
      <c r="K212" s="30"/>
      <c r="L212" s="30"/>
      <c r="M212" s="30"/>
      <c r="N212" s="42"/>
    </row>
    <row r="213" spans="1:14" x14ac:dyDescent="0.25">
      <c r="A213" s="15" t="s">
        <v>127</v>
      </c>
      <c r="B213" s="5" t="s">
        <v>128</v>
      </c>
      <c r="C213" s="35">
        <v>-21.66</v>
      </c>
      <c r="D213" s="35">
        <v>-52.87</v>
      </c>
      <c r="E213" s="73"/>
      <c r="F213" s="84"/>
      <c r="G213" s="73"/>
      <c r="H213" s="73"/>
      <c r="I213" s="73"/>
      <c r="J213" s="73"/>
      <c r="K213" s="73"/>
      <c r="L213" s="73"/>
      <c r="M213" s="73"/>
      <c r="N213" s="74"/>
    </row>
    <row r="214" spans="1:14" x14ac:dyDescent="0.25">
      <c r="A214" s="171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72"/>
    </row>
    <row r="215" spans="1:14" ht="18.75" x14ac:dyDescent="0.25">
      <c r="A215" s="173" t="s">
        <v>311</v>
      </c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74"/>
    </row>
    <row r="216" spans="1:14" x14ac:dyDescent="0.25">
      <c r="A216" s="175" t="s">
        <v>292</v>
      </c>
      <c r="B216" s="150" t="s">
        <v>293</v>
      </c>
      <c r="C216" s="151" t="s">
        <v>312</v>
      </c>
      <c r="D216" s="152"/>
      <c r="E216" s="152"/>
      <c r="F216" s="153"/>
      <c r="G216" s="151" t="s">
        <v>313</v>
      </c>
      <c r="H216" s="152"/>
      <c r="I216" s="152"/>
      <c r="J216" s="153"/>
      <c r="K216" s="30"/>
      <c r="L216" s="30"/>
      <c r="M216" s="30"/>
      <c r="N216" s="42"/>
    </row>
    <row r="217" spans="1:14" x14ac:dyDescent="0.25">
      <c r="A217" s="175"/>
      <c r="B217" s="150"/>
      <c r="C217" s="154"/>
      <c r="D217" s="155"/>
      <c r="E217" s="155"/>
      <c r="F217" s="156"/>
      <c r="G217" s="154"/>
      <c r="H217" s="155"/>
      <c r="I217" s="155"/>
      <c r="J217" s="156"/>
      <c r="K217" s="30"/>
      <c r="L217" s="30"/>
      <c r="M217" s="30"/>
      <c r="N217" s="42"/>
    </row>
    <row r="218" spans="1:14" ht="15.75" thickBot="1" x14ac:dyDescent="0.3">
      <c r="A218" s="49"/>
      <c r="B218" s="50"/>
      <c r="C218" s="177"/>
      <c r="D218" s="177"/>
      <c r="E218" s="177"/>
      <c r="F218" s="177"/>
      <c r="G218" s="177"/>
      <c r="H218" s="177"/>
      <c r="I218" s="177"/>
      <c r="J218" s="177"/>
      <c r="K218" s="51"/>
      <c r="L218" s="51"/>
      <c r="M218" s="51"/>
      <c r="N218" s="52"/>
    </row>
    <row r="219" spans="1:14" ht="15.75" thickTop="1" x14ac:dyDescent="0.25">
      <c r="A219" s="197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9"/>
    </row>
    <row r="220" spans="1:14" ht="18.75" x14ac:dyDescent="0.25">
      <c r="A220" s="168" t="s">
        <v>383</v>
      </c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70"/>
    </row>
    <row r="221" spans="1:14" x14ac:dyDescent="0.25">
      <c r="A221" s="171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72"/>
    </row>
    <row r="222" spans="1:14" ht="18.75" x14ac:dyDescent="0.25">
      <c r="A222" s="173" t="s">
        <v>291</v>
      </c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74"/>
    </row>
    <row r="223" spans="1:14" x14ac:dyDescent="0.25">
      <c r="A223" s="175" t="s">
        <v>292</v>
      </c>
      <c r="B223" s="150" t="s">
        <v>293</v>
      </c>
      <c r="C223" s="157" t="s">
        <v>294</v>
      </c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76"/>
    </row>
    <row r="224" spans="1:14" x14ac:dyDescent="0.25">
      <c r="A224" s="175"/>
      <c r="B224" s="150"/>
      <c r="C224" s="30" t="s">
        <v>295</v>
      </c>
      <c r="D224" s="30" t="s">
        <v>296</v>
      </c>
      <c r="E224" s="30" t="s">
        <v>297</v>
      </c>
      <c r="F224" s="30" t="s">
        <v>298</v>
      </c>
      <c r="G224" s="30" t="s">
        <v>299</v>
      </c>
      <c r="H224" s="30" t="s">
        <v>300</v>
      </c>
      <c r="I224" s="30" t="s">
        <v>301</v>
      </c>
      <c r="J224" s="30" t="s">
        <v>302</v>
      </c>
      <c r="K224" s="30" t="s">
        <v>303</v>
      </c>
      <c r="L224" s="30" t="s">
        <v>304</v>
      </c>
      <c r="M224" s="30" t="s">
        <v>305</v>
      </c>
      <c r="N224" s="42" t="s">
        <v>306</v>
      </c>
    </row>
    <row r="225" spans="1:14" x14ac:dyDescent="0.25">
      <c r="A225" s="38">
        <v>246</v>
      </c>
      <c r="B225" s="5" t="s">
        <v>130</v>
      </c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2"/>
    </row>
    <row r="226" spans="1:14" x14ac:dyDescent="0.25">
      <c r="A226" s="171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72"/>
    </row>
    <row r="227" spans="1:14" x14ac:dyDescent="0.25">
      <c r="A227" s="175" t="s">
        <v>292</v>
      </c>
      <c r="B227" s="150" t="s">
        <v>293</v>
      </c>
      <c r="C227" s="157" t="s">
        <v>308</v>
      </c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76"/>
    </row>
    <row r="228" spans="1:14" x14ac:dyDescent="0.25">
      <c r="A228" s="175"/>
      <c r="B228" s="150"/>
      <c r="C228" s="30" t="s">
        <v>295</v>
      </c>
      <c r="D228" s="30" t="s">
        <v>296</v>
      </c>
      <c r="E228" s="30" t="s">
        <v>297</v>
      </c>
      <c r="F228" s="30" t="s">
        <v>298</v>
      </c>
      <c r="G228" s="30" t="s">
        <v>299</v>
      </c>
      <c r="H228" s="30" t="s">
        <v>300</v>
      </c>
      <c r="I228" s="30" t="s">
        <v>301</v>
      </c>
      <c r="J228" s="30" t="s">
        <v>302</v>
      </c>
      <c r="K228" s="30" t="s">
        <v>303</v>
      </c>
      <c r="L228" s="30" t="s">
        <v>304</v>
      </c>
      <c r="M228" s="30" t="s">
        <v>305</v>
      </c>
      <c r="N228" s="42" t="s">
        <v>306</v>
      </c>
    </row>
    <row r="229" spans="1:14" x14ac:dyDescent="0.25">
      <c r="A229" s="38">
        <v>246</v>
      </c>
      <c r="B229" s="5" t="s">
        <v>130</v>
      </c>
      <c r="C229" s="91">
        <v>5.87</v>
      </c>
      <c r="D229" s="91">
        <v>5.79</v>
      </c>
      <c r="E229" s="91">
        <v>4.9400000000000004</v>
      </c>
      <c r="F229" s="91">
        <v>3.77</v>
      </c>
      <c r="G229" s="91">
        <v>3.32</v>
      </c>
      <c r="H229" s="91">
        <v>2.93</v>
      </c>
      <c r="I229" s="91">
        <v>3.29</v>
      </c>
      <c r="J229" s="91">
        <v>4.13</v>
      </c>
      <c r="K229" s="91">
        <v>4.53</v>
      </c>
      <c r="L229" s="91">
        <v>5.39</v>
      </c>
      <c r="M229" s="91">
        <v>6.2</v>
      </c>
      <c r="N229" s="92">
        <v>5.9</v>
      </c>
    </row>
    <row r="230" spans="1:14" x14ac:dyDescent="0.25">
      <c r="A230" s="194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6"/>
    </row>
    <row r="231" spans="1:14" ht="18.75" x14ac:dyDescent="0.25">
      <c r="A231" s="173" t="s">
        <v>309</v>
      </c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74"/>
    </row>
    <row r="232" spans="1:14" x14ac:dyDescent="0.25">
      <c r="A232" s="175" t="s">
        <v>292</v>
      </c>
      <c r="B232" s="150" t="s">
        <v>293</v>
      </c>
      <c r="C232" s="150" t="s">
        <v>1</v>
      </c>
      <c r="D232" s="150" t="s">
        <v>2</v>
      </c>
      <c r="E232" s="150" t="s">
        <v>310</v>
      </c>
      <c r="F232" s="150"/>
      <c r="G232" s="150"/>
      <c r="H232" s="150"/>
      <c r="I232" s="30"/>
      <c r="J232" s="30"/>
      <c r="K232" s="30"/>
      <c r="L232" s="30"/>
      <c r="M232" s="30"/>
      <c r="N232" s="42"/>
    </row>
    <row r="233" spans="1:14" x14ac:dyDescent="0.25">
      <c r="A233" s="175"/>
      <c r="B233" s="150"/>
      <c r="C233" s="150"/>
      <c r="D233" s="150"/>
      <c r="E233" s="30" t="s">
        <v>292</v>
      </c>
      <c r="F233" s="30" t="s">
        <v>293</v>
      </c>
      <c r="G233" s="30" t="s">
        <v>1</v>
      </c>
      <c r="H233" s="30" t="s">
        <v>2</v>
      </c>
      <c r="I233" s="30"/>
      <c r="J233" s="30"/>
      <c r="K233" s="30"/>
      <c r="L233" s="30"/>
      <c r="M233" s="30"/>
      <c r="N233" s="42"/>
    </row>
    <row r="234" spans="1:14" x14ac:dyDescent="0.25">
      <c r="A234" s="15" t="s">
        <v>129</v>
      </c>
      <c r="B234" s="5" t="s">
        <v>130</v>
      </c>
      <c r="C234" s="35">
        <v>-22.46</v>
      </c>
      <c r="D234" s="35">
        <v>-52.91</v>
      </c>
      <c r="E234" s="73"/>
      <c r="F234" s="84"/>
      <c r="G234" s="73"/>
      <c r="H234" s="73"/>
      <c r="I234" s="73"/>
      <c r="J234" s="73"/>
      <c r="K234" s="73"/>
      <c r="L234" s="73"/>
      <c r="M234" s="73"/>
      <c r="N234" s="74"/>
    </row>
    <row r="235" spans="1:14" x14ac:dyDescent="0.25">
      <c r="A235" s="171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72"/>
    </row>
    <row r="236" spans="1:14" ht="18.75" x14ac:dyDescent="0.25">
      <c r="A236" s="173" t="s">
        <v>311</v>
      </c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74"/>
    </row>
    <row r="237" spans="1:14" x14ac:dyDescent="0.25">
      <c r="A237" s="175" t="s">
        <v>292</v>
      </c>
      <c r="B237" s="150" t="s">
        <v>293</v>
      </c>
      <c r="C237" s="151" t="s">
        <v>312</v>
      </c>
      <c r="D237" s="152"/>
      <c r="E237" s="152"/>
      <c r="F237" s="153"/>
      <c r="G237" s="151" t="s">
        <v>313</v>
      </c>
      <c r="H237" s="152"/>
      <c r="I237" s="152"/>
      <c r="J237" s="153"/>
      <c r="K237" s="30"/>
      <c r="L237" s="30"/>
      <c r="M237" s="30"/>
      <c r="N237" s="42"/>
    </row>
    <row r="238" spans="1:14" x14ac:dyDescent="0.25">
      <c r="A238" s="175"/>
      <c r="B238" s="150"/>
      <c r="C238" s="154"/>
      <c r="D238" s="155"/>
      <c r="E238" s="155"/>
      <c r="F238" s="156"/>
      <c r="G238" s="154"/>
      <c r="H238" s="155"/>
      <c r="I238" s="155"/>
      <c r="J238" s="156"/>
      <c r="K238" s="30"/>
      <c r="L238" s="30"/>
      <c r="M238" s="30"/>
      <c r="N238" s="42"/>
    </row>
    <row r="239" spans="1:14" ht="15.75" thickBot="1" x14ac:dyDescent="0.3">
      <c r="A239" s="87">
        <v>63968000</v>
      </c>
      <c r="B239" s="80" t="s">
        <v>128</v>
      </c>
      <c r="C239" s="177" t="s">
        <v>130</v>
      </c>
      <c r="D239" s="177"/>
      <c r="E239" s="177"/>
      <c r="F239" s="177"/>
      <c r="G239" s="177">
        <v>26</v>
      </c>
      <c r="H239" s="177"/>
      <c r="I239" s="177"/>
      <c r="J239" s="177"/>
      <c r="K239" s="51"/>
      <c r="L239" s="51"/>
      <c r="M239" s="51"/>
      <c r="N239" s="52"/>
    </row>
    <row r="240" spans="1:14" ht="15.75" thickTop="1" x14ac:dyDescent="0.25">
      <c r="A240" s="197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9"/>
    </row>
    <row r="241" spans="1:14" ht="18.75" x14ac:dyDescent="0.25">
      <c r="A241" s="168" t="s">
        <v>384</v>
      </c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70"/>
    </row>
    <row r="242" spans="1:14" x14ac:dyDescent="0.25">
      <c r="A242" s="171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72"/>
    </row>
    <row r="243" spans="1:14" ht="18.75" x14ac:dyDescent="0.25">
      <c r="A243" s="173" t="s">
        <v>291</v>
      </c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74"/>
    </row>
    <row r="244" spans="1:14" x14ac:dyDescent="0.25">
      <c r="A244" s="175" t="s">
        <v>292</v>
      </c>
      <c r="B244" s="150" t="s">
        <v>293</v>
      </c>
      <c r="C244" s="157" t="s">
        <v>294</v>
      </c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76"/>
    </row>
    <row r="245" spans="1:14" x14ac:dyDescent="0.25">
      <c r="A245" s="175"/>
      <c r="B245" s="150"/>
      <c r="C245" s="30" t="s">
        <v>295</v>
      </c>
      <c r="D245" s="30" t="s">
        <v>296</v>
      </c>
      <c r="E245" s="30" t="s">
        <v>297</v>
      </c>
      <c r="F245" s="30" t="s">
        <v>298</v>
      </c>
      <c r="G245" s="30" t="s">
        <v>299</v>
      </c>
      <c r="H245" s="30" t="s">
        <v>300</v>
      </c>
      <c r="I245" s="30" t="s">
        <v>301</v>
      </c>
      <c r="J245" s="30" t="s">
        <v>302</v>
      </c>
      <c r="K245" s="30" t="s">
        <v>303</v>
      </c>
      <c r="L245" s="30" t="s">
        <v>304</v>
      </c>
      <c r="M245" s="30" t="s">
        <v>305</v>
      </c>
      <c r="N245" s="42" t="s">
        <v>306</v>
      </c>
    </row>
    <row r="246" spans="1:14" x14ac:dyDescent="0.25">
      <c r="A246" s="38"/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43"/>
    </row>
    <row r="247" spans="1:14" x14ac:dyDescent="0.25">
      <c r="A247" s="171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72"/>
    </row>
    <row r="248" spans="1:14" x14ac:dyDescent="0.25">
      <c r="A248" s="175" t="s">
        <v>292</v>
      </c>
      <c r="B248" s="150" t="s">
        <v>293</v>
      </c>
      <c r="C248" s="157" t="s">
        <v>308</v>
      </c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76"/>
    </row>
    <row r="249" spans="1:14" x14ac:dyDescent="0.25">
      <c r="A249" s="175"/>
      <c r="B249" s="150"/>
      <c r="C249" s="30" t="s">
        <v>295</v>
      </c>
      <c r="D249" s="30" t="s">
        <v>296</v>
      </c>
      <c r="E249" s="30" t="s">
        <v>297</v>
      </c>
      <c r="F249" s="30" t="s">
        <v>298</v>
      </c>
      <c r="G249" s="30" t="s">
        <v>299</v>
      </c>
      <c r="H249" s="30" t="s">
        <v>300</v>
      </c>
      <c r="I249" s="30" t="s">
        <v>301</v>
      </c>
      <c r="J249" s="30" t="s">
        <v>302</v>
      </c>
      <c r="K249" s="30" t="s">
        <v>303</v>
      </c>
      <c r="L249" s="30" t="s">
        <v>304</v>
      </c>
      <c r="M249" s="30" t="s">
        <v>305</v>
      </c>
      <c r="N249" s="42" t="s">
        <v>306</v>
      </c>
    </row>
    <row r="250" spans="1:14" x14ac:dyDescent="0.25">
      <c r="A250" s="38">
        <v>64831000</v>
      </c>
      <c r="B250" s="5" t="s">
        <v>385</v>
      </c>
      <c r="C250" s="29">
        <v>6.13</v>
      </c>
      <c r="D250" s="29">
        <v>5.91</v>
      </c>
      <c r="E250" s="29">
        <v>5.39</v>
      </c>
      <c r="F250" s="29">
        <v>4.3</v>
      </c>
      <c r="G250" s="29">
        <v>2.97</v>
      </c>
      <c r="H250" s="29">
        <v>2.57</v>
      </c>
      <c r="I250" s="29">
        <v>3.39</v>
      </c>
      <c r="J250" s="29">
        <v>3.97</v>
      </c>
      <c r="K250" s="29">
        <v>4.2300000000000004</v>
      </c>
      <c r="L250" s="29">
        <v>5.52</v>
      </c>
      <c r="M250" s="29">
        <v>6.07</v>
      </c>
      <c r="N250" s="44">
        <v>5.84</v>
      </c>
    </row>
    <row r="251" spans="1:14" x14ac:dyDescent="0.25">
      <c r="A251" s="171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72"/>
    </row>
    <row r="252" spans="1:14" ht="18.75" x14ac:dyDescent="0.25">
      <c r="A252" s="173" t="s">
        <v>309</v>
      </c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74"/>
    </row>
    <row r="253" spans="1:14" x14ac:dyDescent="0.25">
      <c r="A253" s="175" t="s">
        <v>292</v>
      </c>
      <c r="B253" s="150" t="s">
        <v>293</v>
      </c>
      <c r="C253" s="150" t="s">
        <v>1</v>
      </c>
      <c r="D253" s="150" t="s">
        <v>2</v>
      </c>
      <c r="E253" s="150" t="s">
        <v>310</v>
      </c>
      <c r="F253" s="150"/>
      <c r="G253" s="150"/>
      <c r="H253" s="150"/>
      <c r="I253" s="30"/>
      <c r="J253" s="30"/>
      <c r="K253" s="30"/>
      <c r="L253" s="30"/>
      <c r="M253" s="30"/>
      <c r="N253" s="42"/>
    </row>
    <row r="254" spans="1:14" x14ac:dyDescent="0.25">
      <c r="A254" s="175"/>
      <c r="B254" s="150"/>
      <c r="C254" s="150"/>
      <c r="D254" s="150"/>
      <c r="E254" s="30" t="s">
        <v>292</v>
      </c>
      <c r="F254" s="30" t="s">
        <v>293</v>
      </c>
      <c r="G254" s="30" t="s">
        <v>1</v>
      </c>
      <c r="H254" s="30" t="s">
        <v>2</v>
      </c>
      <c r="I254" s="30"/>
      <c r="J254" s="30"/>
      <c r="K254" s="30"/>
      <c r="L254" s="30"/>
      <c r="M254" s="30"/>
      <c r="N254" s="42"/>
    </row>
    <row r="255" spans="1:14" x14ac:dyDescent="0.25">
      <c r="A255" s="15" t="s">
        <v>39</v>
      </c>
      <c r="B255" s="5" t="s">
        <v>40</v>
      </c>
      <c r="C255" s="35">
        <v>-24.19</v>
      </c>
      <c r="D255" s="35">
        <v>-53.74</v>
      </c>
      <c r="E255" s="35"/>
      <c r="F255" s="26"/>
      <c r="G255" s="35"/>
      <c r="H255" s="35"/>
      <c r="I255" s="35"/>
      <c r="J255" s="35"/>
      <c r="K255" s="35"/>
      <c r="L255" s="35"/>
      <c r="M255" s="35"/>
      <c r="N255" s="46"/>
    </row>
    <row r="256" spans="1:14" x14ac:dyDescent="0.25">
      <c r="A256" s="200"/>
      <c r="B256" s="201"/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2"/>
    </row>
    <row r="257" spans="1:14" ht="18.75" x14ac:dyDescent="0.25">
      <c r="A257" s="173" t="s">
        <v>311</v>
      </c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74"/>
    </row>
    <row r="258" spans="1:14" x14ac:dyDescent="0.25">
      <c r="A258" s="175" t="s">
        <v>292</v>
      </c>
      <c r="B258" s="150" t="s">
        <v>293</v>
      </c>
      <c r="C258" s="151" t="s">
        <v>312</v>
      </c>
      <c r="D258" s="152"/>
      <c r="E258" s="152"/>
      <c r="F258" s="153"/>
      <c r="G258" s="151" t="s">
        <v>313</v>
      </c>
      <c r="H258" s="152"/>
      <c r="I258" s="152"/>
      <c r="J258" s="153"/>
      <c r="K258" s="30"/>
      <c r="L258" s="30"/>
      <c r="M258" s="30"/>
      <c r="N258" s="42"/>
    </row>
    <row r="259" spans="1:14" x14ac:dyDescent="0.25">
      <c r="A259" s="175"/>
      <c r="B259" s="150"/>
      <c r="C259" s="154"/>
      <c r="D259" s="155"/>
      <c r="E259" s="155"/>
      <c r="F259" s="156"/>
      <c r="G259" s="154"/>
      <c r="H259" s="155"/>
      <c r="I259" s="155"/>
      <c r="J259" s="156"/>
      <c r="K259" s="30"/>
      <c r="L259" s="30"/>
      <c r="M259" s="30"/>
      <c r="N259" s="42"/>
    </row>
    <row r="260" spans="1:14" ht="15.75" thickBot="1" x14ac:dyDescent="0.3">
      <c r="A260" s="49"/>
      <c r="B260" s="50"/>
      <c r="C260" s="177"/>
      <c r="D260" s="177"/>
      <c r="E260" s="177"/>
      <c r="F260" s="177"/>
      <c r="G260" s="177"/>
      <c r="H260" s="177"/>
      <c r="I260" s="177"/>
      <c r="J260" s="177"/>
      <c r="K260" s="51"/>
      <c r="L260" s="51"/>
      <c r="M260" s="51"/>
      <c r="N260" s="52"/>
    </row>
    <row r="261" spans="1:14" ht="16.5" thickTop="1" thickBot="1" x14ac:dyDescent="0.3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</row>
    <row r="262" spans="1:14" ht="19.5" thickTop="1" x14ac:dyDescent="0.25">
      <c r="A262" s="178" t="s">
        <v>386</v>
      </c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80"/>
    </row>
    <row r="263" spans="1:14" x14ac:dyDescent="0.25">
      <c r="A263" s="171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72"/>
    </row>
    <row r="264" spans="1:14" ht="18.75" x14ac:dyDescent="0.25">
      <c r="A264" s="173" t="s">
        <v>291</v>
      </c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74"/>
    </row>
    <row r="265" spans="1:14" x14ac:dyDescent="0.25">
      <c r="A265" s="175" t="s">
        <v>292</v>
      </c>
      <c r="B265" s="150" t="s">
        <v>293</v>
      </c>
      <c r="C265" s="157" t="s">
        <v>294</v>
      </c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76"/>
    </row>
    <row r="266" spans="1:14" x14ac:dyDescent="0.25">
      <c r="A266" s="175"/>
      <c r="B266" s="150"/>
      <c r="C266" s="30" t="s">
        <v>295</v>
      </c>
      <c r="D266" s="30" t="s">
        <v>296</v>
      </c>
      <c r="E266" s="30" t="s">
        <v>297</v>
      </c>
      <c r="F266" s="30" t="s">
        <v>298</v>
      </c>
      <c r="G266" s="30" t="s">
        <v>299</v>
      </c>
      <c r="H266" s="30" t="s">
        <v>300</v>
      </c>
      <c r="I266" s="30" t="s">
        <v>301</v>
      </c>
      <c r="J266" s="30" t="s">
        <v>302</v>
      </c>
      <c r="K266" s="30" t="s">
        <v>303</v>
      </c>
      <c r="L266" s="30" t="s">
        <v>304</v>
      </c>
      <c r="M266" s="30" t="s">
        <v>305</v>
      </c>
      <c r="N266" s="42" t="s">
        <v>306</v>
      </c>
    </row>
    <row r="267" spans="1:14" x14ac:dyDescent="0.25">
      <c r="A267" s="38"/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43"/>
    </row>
    <row r="268" spans="1:14" x14ac:dyDescent="0.25">
      <c r="A268" s="171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72"/>
    </row>
    <row r="269" spans="1:14" x14ac:dyDescent="0.25">
      <c r="A269" s="175" t="s">
        <v>292</v>
      </c>
      <c r="B269" s="150" t="s">
        <v>293</v>
      </c>
      <c r="C269" s="157" t="s">
        <v>308</v>
      </c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76"/>
    </row>
    <row r="270" spans="1:14" x14ac:dyDescent="0.25">
      <c r="A270" s="175"/>
      <c r="B270" s="150"/>
      <c r="C270" s="30" t="s">
        <v>295</v>
      </c>
      <c r="D270" s="30" t="s">
        <v>296</v>
      </c>
      <c r="E270" s="30" t="s">
        <v>297</v>
      </c>
      <c r="F270" s="30" t="s">
        <v>298</v>
      </c>
      <c r="G270" s="30" t="s">
        <v>299</v>
      </c>
      <c r="H270" s="30" t="s">
        <v>300</v>
      </c>
      <c r="I270" s="30" t="s">
        <v>301</v>
      </c>
      <c r="J270" s="30" t="s">
        <v>302</v>
      </c>
      <c r="K270" s="30" t="s">
        <v>303</v>
      </c>
      <c r="L270" s="30" t="s">
        <v>304</v>
      </c>
      <c r="M270" s="30" t="s">
        <v>305</v>
      </c>
      <c r="N270" s="42" t="s">
        <v>306</v>
      </c>
    </row>
    <row r="271" spans="1:14" x14ac:dyDescent="0.25">
      <c r="A271" s="38">
        <v>64999999</v>
      </c>
      <c r="B271" s="5" t="s">
        <v>387</v>
      </c>
      <c r="C271" s="29">
        <v>6.13</v>
      </c>
      <c r="D271" s="29">
        <v>5.91</v>
      </c>
      <c r="E271" s="29">
        <v>5.39</v>
      </c>
      <c r="F271" s="29">
        <v>4.3</v>
      </c>
      <c r="G271" s="29">
        <v>2.97</v>
      </c>
      <c r="H271" s="29">
        <v>2.57</v>
      </c>
      <c r="I271" s="29">
        <v>3.39</v>
      </c>
      <c r="J271" s="29">
        <v>3.97</v>
      </c>
      <c r="K271" s="29">
        <v>4.2300000000000004</v>
      </c>
      <c r="L271" s="29">
        <v>5.52</v>
      </c>
      <c r="M271" s="29">
        <v>6.07</v>
      </c>
      <c r="N271" s="44">
        <v>5.84</v>
      </c>
    </row>
    <row r="272" spans="1:14" x14ac:dyDescent="0.25">
      <c r="A272" s="171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72"/>
    </row>
    <row r="273" spans="1:14" ht="18.75" x14ac:dyDescent="0.25">
      <c r="A273" s="173" t="s">
        <v>309</v>
      </c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74"/>
    </row>
    <row r="274" spans="1:14" x14ac:dyDescent="0.25">
      <c r="A274" s="175" t="s">
        <v>292</v>
      </c>
      <c r="B274" s="150" t="s">
        <v>293</v>
      </c>
      <c r="C274" s="150" t="s">
        <v>1</v>
      </c>
      <c r="D274" s="150" t="s">
        <v>2</v>
      </c>
      <c r="E274" s="150" t="s">
        <v>310</v>
      </c>
      <c r="F274" s="150"/>
      <c r="G274" s="150"/>
      <c r="H274" s="150"/>
      <c r="I274" s="30"/>
      <c r="J274" s="30"/>
      <c r="K274" s="30"/>
      <c r="L274" s="30"/>
      <c r="M274" s="30"/>
      <c r="N274" s="42"/>
    </row>
    <row r="275" spans="1:14" x14ac:dyDescent="0.25">
      <c r="A275" s="175"/>
      <c r="B275" s="150"/>
      <c r="C275" s="150"/>
      <c r="D275" s="150"/>
      <c r="E275" s="30" t="s">
        <v>292</v>
      </c>
      <c r="F275" s="30" t="s">
        <v>293</v>
      </c>
      <c r="G275" s="30" t="s">
        <v>1</v>
      </c>
      <c r="H275" s="30" t="s">
        <v>2</v>
      </c>
      <c r="I275" s="30"/>
      <c r="J275" s="30"/>
      <c r="K275" s="30"/>
      <c r="L275" s="30"/>
      <c r="M275" s="30"/>
      <c r="N275" s="42"/>
    </row>
    <row r="276" spans="1:14" x14ac:dyDescent="0.25">
      <c r="A276" s="15" t="s">
        <v>41</v>
      </c>
      <c r="B276" s="5" t="s">
        <v>42</v>
      </c>
      <c r="C276" s="35">
        <v>-22.97</v>
      </c>
      <c r="D276" s="35">
        <v>-54.56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46"/>
    </row>
    <row r="277" spans="1:14" x14ac:dyDescent="0.25">
      <c r="A277" s="97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9"/>
    </row>
    <row r="278" spans="1:14" ht="18.75" x14ac:dyDescent="0.25">
      <c r="A278" s="173" t="s">
        <v>311</v>
      </c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74"/>
    </row>
    <row r="279" spans="1:14" x14ac:dyDescent="0.25">
      <c r="A279" s="175" t="s">
        <v>292</v>
      </c>
      <c r="B279" s="150" t="s">
        <v>293</v>
      </c>
      <c r="C279" s="151" t="s">
        <v>312</v>
      </c>
      <c r="D279" s="152"/>
      <c r="E279" s="152"/>
      <c r="F279" s="153"/>
      <c r="G279" s="151" t="s">
        <v>313</v>
      </c>
      <c r="H279" s="152"/>
      <c r="I279" s="152"/>
      <c r="J279" s="153"/>
      <c r="K279" s="30"/>
      <c r="L279" s="30"/>
      <c r="M279" s="30"/>
      <c r="N279" s="42"/>
    </row>
    <row r="280" spans="1:14" x14ac:dyDescent="0.25">
      <c r="A280" s="175"/>
      <c r="B280" s="150"/>
      <c r="C280" s="154"/>
      <c r="D280" s="155"/>
      <c r="E280" s="155"/>
      <c r="F280" s="156"/>
      <c r="G280" s="154"/>
      <c r="H280" s="155"/>
      <c r="I280" s="155"/>
      <c r="J280" s="156"/>
      <c r="K280" s="30"/>
      <c r="L280" s="30"/>
      <c r="M280" s="30"/>
      <c r="N280" s="42"/>
    </row>
    <row r="281" spans="1:14" ht="15.75" thickBot="1" x14ac:dyDescent="0.3">
      <c r="A281" s="49"/>
      <c r="B281" s="50"/>
      <c r="C281" s="177"/>
      <c r="D281" s="177"/>
      <c r="E281" s="177"/>
      <c r="F281" s="177"/>
      <c r="G281" s="177"/>
      <c r="H281" s="177"/>
      <c r="I281" s="177"/>
      <c r="J281" s="177"/>
      <c r="K281" s="51"/>
      <c r="L281" s="51"/>
      <c r="M281" s="51"/>
      <c r="N281" s="52"/>
    </row>
    <row r="282" spans="1:14" ht="16.5" thickTop="1" thickBot="1" x14ac:dyDescent="0.3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</row>
    <row r="283" spans="1:14" ht="19.5" thickTop="1" x14ac:dyDescent="0.25">
      <c r="A283" s="178" t="s">
        <v>388</v>
      </c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80"/>
    </row>
    <row r="284" spans="1:14" x14ac:dyDescent="0.25">
      <c r="A284" s="171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72"/>
    </row>
    <row r="285" spans="1:14" ht="18.75" x14ac:dyDescent="0.25">
      <c r="A285" s="173" t="s">
        <v>291</v>
      </c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74"/>
    </row>
    <row r="286" spans="1:14" x14ac:dyDescent="0.25">
      <c r="A286" s="175" t="s">
        <v>292</v>
      </c>
      <c r="B286" s="150" t="s">
        <v>293</v>
      </c>
      <c r="C286" s="157" t="s">
        <v>294</v>
      </c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76"/>
    </row>
    <row r="287" spans="1:14" x14ac:dyDescent="0.25">
      <c r="A287" s="175"/>
      <c r="B287" s="150"/>
      <c r="C287" s="30" t="s">
        <v>295</v>
      </c>
      <c r="D287" s="30" t="s">
        <v>296</v>
      </c>
      <c r="E287" s="30" t="s">
        <v>297</v>
      </c>
      <c r="F287" s="30" t="s">
        <v>298</v>
      </c>
      <c r="G287" s="30" t="s">
        <v>299</v>
      </c>
      <c r="H287" s="30" t="s">
        <v>300</v>
      </c>
      <c r="I287" s="30" t="s">
        <v>301</v>
      </c>
      <c r="J287" s="30" t="s">
        <v>302</v>
      </c>
      <c r="K287" s="30" t="s">
        <v>303</v>
      </c>
      <c r="L287" s="30" t="s">
        <v>304</v>
      </c>
      <c r="M287" s="30" t="s">
        <v>305</v>
      </c>
      <c r="N287" s="42" t="s">
        <v>306</v>
      </c>
    </row>
    <row r="288" spans="1:14" x14ac:dyDescent="0.25">
      <c r="A288" s="38">
        <v>266</v>
      </c>
      <c r="B288" s="5" t="s">
        <v>44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43"/>
    </row>
    <row r="289" spans="1:14" x14ac:dyDescent="0.25">
      <c r="A289" s="171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72"/>
    </row>
    <row r="290" spans="1:14" x14ac:dyDescent="0.25">
      <c r="A290" s="175" t="s">
        <v>292</v>
      </c>
      <c r="B290" s="150" t="s">
        <v>293</v>
      </c>
      <c r="C290" s="157" t="s">
        <v>308</v>
      </c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76"/>
    </row>
    <row r="291" spans="1:14" x14ac:dyDescent="0.25">
      <c r="A291" s="175"/>
      <c r="B291" s="150"/>
      <c r="C291" s="30" t="s">
        <v>295</v>
      </c>
      <c r="D291" s="30" t="s">
        <v>296</v>
      </c>
      <c r="E291" s="30" t="s">
        <v>297</v>
      </c>
      <c r="F291" s="30" t="s">
        <v>298</v>
      </c>
      <c r="G291" s="30" t="s">
        <v>299</v>
      </c>
      <c r="H291" s="30" t="s">
        <v>300</v>
      </c>
      <c r="I291" s="30" t="s">
        <v>301</v>
      </c>
      <c r="J291" s="30" t="s">
        <v>302</v>
      </c>
      <c r="K291" s="30" t="s">
        <v>303</v>
      </c>
      <c r="L291" s="30" t="s">
        <v>304</v>
      </c>
      <c r="M291" s="30" t="s">
        <v>305</v>
      </c>
      <c r="N291" s="42" t="s">
        <v>306</v>
      </c>
    </row>
    <row r="292" spans="1:14" x14ac:dyDescent="0.25">
      <c r="A292" s="38">
        <v>266</v>
      </c>
      <c r="B292" s="5" t="s">
        <v>44</v>
      </c>
      <c r="C292" s="29">
        <v>6.13</v>
      </c>
      <c r="D292" s="29">
        <v>5.91</v>
      </c>
      <c r="E292" s="29">
        <v>5.39</v>
      </c>
      <c r="F292" s="29">
        <v>4.3</v>
      </c>
      <c r="G292" s="29">
        <v>2.97</v>
      </c>
      <c r="H292" s="29">
        <v>2.57</v>
      </c>
      <c r="I292" s="29">
        <v>3.39</v>
      </c>
      <c r="J292" s="29">
        <v>3.97</v>
      </c>
      <c r="K292" s="29">
        <v>4.2300000000000004</v>
      </c>
      <c r="L292" s="29">
        <v>5.52</v>
      </c>
      <c r="M292" s="29">
        <v>6.07</v>
      </c>
      <c r="N292" s="44">
        <v>5.84</v>
      </c>
    </row>
    <row r="293" spans="1:14" x14ac:dyDescent="0.25">
      <c r="A293" s="171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72"/>
    </row>
    <row r="294" spans="1:14" ht="18.75" x14ac:dyDescent="0.25">
      <c r="A294" s="173" t="s">
        <v>309</v>
      </c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74"/>
    </row>
    <row r="295" spans="1:14" x14ac:dyDescent="0.25">
      <c r="A295" s="175" t="s">
        <v>292</v>
      </c>
      <c r="B295" s="150" t="s">
        <v>293</v>
      </c>
      <c r="C295" s="150" t="s">
        <v>1</v>
      </c>
      <c r="D295" s="150" t="s">
        <v>2</v>
      </c>
      <c r="E295" s="150" t="s">
        <v>310</v>
      </c>
      <c r="F295" s="150"/>
      <c r="G295" s="150"/>
      <c r="H295" s="150"/>
      <c r="I295" s="30"/>
      <c r="J295" s="30"/>
      <c r="K295" s="30"/>
      <c r="L295" s="30"/>
      <c r="M295" s="30"/>
      <c r="N295" s="42"/>
    </row>
    <row r="296" spans="1:14" x14ac:dyDescent="0.25">
      <c r="A296" s="175"/>
      <c r="B296" s="150"/>
      <c r="C296" s="150"/>
      <c r="D296" s="150"/>
      <c r="E296" s="30" t="s">
        <v>292</v>
      </c>
      <c r="F296" s="30" t="s">
        <v>293</v>
      </c>
      <c r="G296" s="30" t="s">
        <v>1</v>
      </c>
      <c r="H296" s="30" t="s">
        <v>2</v>
      </c>
      <c r="I296" s="30"/>
      <c r="J296" s="30"/>
      <c r="K296" s="30"/>
      <c r="L296" s="30"/>
      <c r="M296" s="30"/>
      <c r="N296" s="42"/>
    </row>
    <row r="297" spans="1:14" x14ac:dyDescent="0.25">
      <c r="A297" s="15" t="s">
        <v>43</v>
      </c>
      <c r="B297" s="5" t="s">
        <v>44</v>
      </c>
      <c r="C297" s="35">
        <v>-25.42</v>
      </c>
      <c r="D297" s="35">
        <v>-54.58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46"/>
    </row>
    <row r="298" spans="1:14" x14ac:dyDescent="0.25">
      <c r="A298" s="94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6"/>
    </row>
    <row r="299" spans="1:14" ht="18.75" x14ac:dyDescent="0.25">
      <c r="A299" s="173" t="s">
        <v>311</v>
      </c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74"/>
    </row>
    <row r="300" spans="1:14" x14ac:dyDescent="0.25">
      <c r="A300" s="175" t="s">
        <v>292</v>
      </c>
      <c r="B300" s="150" t="s">
        <v>293</v>
      </c>
      <c r="C300" s="151" t="s">
        <v>312</v>
      </c>
      <c r="D300" s="152"/>
      <c r="E300" s="152"/>
      <c r="F300" s="153"/>
      <c r="G300" s="151" t="s">
        <v>313</v>
      </c>
      <c r="H300" s="152"/>
      <c r="I300" s="152"/>
      <c r="J300" s="153"/>
      <c r="K300" s="30"/>
      <c r="L300" s="30"/>
      <c r="M300" s="30"/>
      <c r="N300" s="42"/>
    </row>
    <row r="301" spans="1:14" x14ac:dyDescent="0.25">
      <c r="A301" s="175"/>
      <c r="B301" s="150"/>
      <c r="C301" s="154"/>
      <c r="D301" s="155"/>
      <c r="E301" s="155"/>
      <c r="F301" s="156"/>
      <c r="G301" s="154"/>
      <c r="H301" s="155"/>
      <c r="I301" s="155"/>
      <c r="J301" s="156"/>
      <c r="K301" s="30"/>
      <c r="L301" s="30"/>
      <c r="M301" s="30"/>
      <c r="N301" s="42"/>
    </row>
    <row r="302" spans="1:14" x14ac:dyDescent="0.25">
      <c r="A302" s="41">
        <v>64831000</v>
      </c>
      <c r="B302" s="28" t="s">
        <v>389</v>
      </c>
      <c r="C302" s="188" t="s">
        <v>390</v>
      </c>
      <c r="D302" s="188"/>
      <c r="E302" s="188"/>
      <c r="F302" s="188"/>
      <c r="G302" s="188">
        <v>32</v>
      </c>
      <c r="H302" s="188"/>
      <c r="I302" s="188"/>
      <c r="J302" s="188"/>
      <c r="K302" s="27"/>
      <c r="L302" s="27"/>
      <c r="M302" s="27"/>
      <c r="N302" s="55"/>
    </row>
    <row r="303" spans="1:14" x14ac:dyDescent="0.25">
      <c r="A303" s="40" t="s">
        <v>391</v>
      </c>
      <c r="B303" s="3" t="s">
        <v>392</v>
      </c>
      <c r="C303" s="203" t="s">
        <v>390</v>
      </c>
      <c r="D303" s="203"/>
      <c r="E303" s="203"/>
      <c r="F303" s="203"/>
      <c r="G303" s="203">
        <v>33</v>
      </c>
      <c r="H303" s="203"/>
      <c r="I303" s="203"/>
      <c r="J303" s="203"/>
      <c r="K303" s="34"/>
      <c r="L303" s="34"/>
      <c r="M303" s="34"/>
      <c r="N303" s="45"/>
    </row>
    <row r="304" spans="1:14" x14ac:dyDescent="0.25">
      <c r="A304" s="39">
        <v>64617000</v>
      </c>
      <c r="B304" s="5" t="s">
        <v>46</v>
      </c>
      <c r="C304" s="204" t="s">
        <v>390</v>
      </c>
      <c r="D304" s="204"/>
      <c r="E304" s="204"/>
      <c r="F304" s="204"/>
      <c r="G304" s="204">
        <v>45</v>
      </c>
      <c r="H304" s="204"/>
      <c r="I304" s="204"/>
      <c r="J304" s="204"/>
      <c r="K304" s="35"/>
      <c r="L304" s="35"/>
      <c r="M304" s="35"/>
      <c r="N304" s="46"/>
    </row>
    <row r="305" spans="1:14" ht="15.75" thickBot="1" x14ac:dyDescent="0.3">
      <c r="A305" s="56">
        <v>64693000</v>
      </c>
      <c r="B305" s="57" t="s">
        <v>48</v>
      </c>
      <c r="C305" s="205" t="s">
        <v>390</v>
      </c>
      <c r="D305" s="205"/>
      <c r="E305" s="205"/>
      <c r="F305" s="205"/>
      <c r="G305" s="205">
        <v>36</v>
      </c>
      <c r="H305" s="205"/>
      <c r="I305" s="205"/>
      <c r="J305" s="205"/>
      <c r="K305" s="118"/>
      <c r="L305" s="118"/>
      <c r="M305" s="118"/>
      <c r="N305" s="58"/>
    </row>
    <row r="306" spans="1:14" ht="16.5" thickTop="1" thickBot="1" x14ac:dyDescent="0.3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</row>
    <row r="307" spans="1:14" ht="19.5" thickTop="1" x14ac:dyDescent="0.25">
      <c r="A307" s="178" t="s">
        <v>393</v>
      </c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80"/>
    </row>
    <row r="308" spans="1:14" x14ac:dyDescent="0.25">
      <c r="A308" s="171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72"/>
    </row>
    <row r="309" spans="1:14" ht="18.75" x14ac:dyDescent="0.25">
      <c r="A309" s="173" t="s">
        <v>291</v>
      </c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74"/>
    </row>
    <row r="310" spans="1:14" x14ac:dyDescent="0.25">
      <c r="A310" s="175" t="s">
        <v>292</v>
      </c>
      <c r="B310" s="150" t="s">
        <v>293</v>
      </c>
      <c r="C310" s="157" t="s">
        <v>294</v>
      </c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76"/>
    </row>
    <row r="311" spans="1:14" x14ac:dyDescent="0.25">
      <c r="A311" s="175"/>
      <c r="B311" s="150"/>
      <c r="C311" s="30" t="s">
        <v>295</v>
      </c>
      <c r="D311" s="30" t="s">
        <v>296</v>
      </c>
      <c r="E311" s="30" t="s">
        <v>297</v>
      </c>
      <c r="F311" s="30" t="s">
        <v>298</v>
      </c>
      <c r="G311" s="30" t="s">
        <v>299</v>
      </c>
      <c r="H311" s="30" t="s">
        <v>300</v>
      </c>
      <c r="I311" s="30" t="s">
        <v>301</v>
      </c>
      <c r="J311" s="30" t="s">
        <v>302</v>
      </c>
      <c r="K311" s="30" t="s">
        <v>303</v>
      </c>
      <c r="L311" s="30" t="s">
        <v>304</v>
      </c>
      <c r="M311" s="30" t="s">
        <v>305</v>
      </c>
      <c r="N311" s="42" t="s">
        <v>306</v>
      </c>
    </row>
    <row r="312" spans="1:14" x14ac:dyDescent="0.25">
      <c r="A312" s="38"/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43"/>
    </row>
    <row r="313" spans="1:14" x14ac:dyDescent="0.25">
      <c r="A313" s="171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72"/>
    </row>
    <row r="314" spans="1:14" x14ac:dyDescent="0.25">
      <c r="A314" s="175" t="s">
        <v>292</v>
      </c>
      <c r="B314" s="150" t="s">
        <v>293</v>
      </c>
      <c r="C314" s="157" t="s">
        <v>308</v>
      </c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76"/>
    </row>
    <row r="315" spans="1:14" x14ac:dyDescent="0.25">
      <c r="A315" s="175"/>
      <c r="B315" s="150"/>
      <c r="C315" s="30" t="s">
        <v>295</v>
      </c>
      <c r="D315" s="30" t="s">
        <v>296</v>
      </c>
      <c r="E315" s="30" t="s">
        <v>297</v>
      </c>
      <c r="F315" s="30" t="s">
        <v>298</v>
      </c>
      <c r="G315" s="30" t="s">
        <v>299</v>
      </c>
      <c r="H315" s="30" t="s">
        <v>300</v>
      </c>
      <c r="I315" s="30" t="s">
        <v>301</v>
      </c>
      <c r="J315" s="30" t="s">
        <v>302</v>
      </c>
      <c r="K315" s="30" t="s">
        <v>303</v>
      </c>
      <c r="L315" s="30" t="s">
        <v>304</v>
      </c>
      <c r="M315" s="30" t="s">
        <v>305</v>
      </c>
      <c r="N315" s="42" t="s">
        <v>306</v>
      </c>
    </row>
    <row r="316" spans="1:14" x14ac:dyDescent="0.25">
      <c r="A316" s="38">
        <v>64617000</v>
      </c>
      <c r="B316" s="5" t="s">
        <v>46</v>
      </c>
      <c r="C316" s="29">
        <v>6.13</v>
      </c>
      <c r="D316" s="29">
        <v>5.91</v>
      </c>
      <c r="E316" s="29">
        <v>5.39</v>
      </c>
      <c r="F316" s="29">
        <v>4.3</v>
      </c>
      <c r="G316" s="29">
        <v>2.97</v>
      </c>
      <c r="H316" s="29">
        <v>2.57</v>
      </c>
      <c r="I316" s="29">
        <v>3.39</v>
      </c>
      <c r="J316" s="29">
        <v>3.97</v>
      </c>
      <c r="K316" s="29">
        <v>4.2300000000000004</v>
      </c>
      <c r="L316" s="29">
        <v>5.52</v>
      </c>
      <c r="M316" s="29">
        <v>6.07</v>
      </c>
      <c r="N316" s="44">
        <v>5.84</v>
      </c>
    </row>
    <row r="317" spans="1:14" x14ac:dyDescent="0.25">
      <c r="A317" s="171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72"/>
    </row>
    <row r="318" spans="1:14" ht="18.75" x14ac:dyDescent="0.25">
      <c r="A318" s="173" t="s">
        <v>309</v>
      </c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74"/>
    </row>
    <row r="319" spans="1:14" x14ac:dyDescent="0.25">
      <c r="A319" s="175" t="s">
        <v>292</v>
      </c>
      <c r="B319" s="150" t="s">
        <v>293</v>
      </c>
      <c r="C319" s="150" t="s">
        <v>1</v>
      </c>
      <c r="D319" s="150" t="s">
        <v>2</v>
      </c>
      <c r="E319" s="150" t="s">
        <v>310</v>
      </c>
      <c r="F319" s="150"/>
      <c r="G319" s="150"/>
      <c r="H319" s="150"/>
      <c r="I319" s="30"/>
      <c r="J319" s="30"/>
      <c r="K319" s="30"/>
      <c r="L319" s="30"/>
      <c r="M319" s="30"/>
      <c r="N319" s="42"/>
    </row>
    <row r="320" spans="1:14" x14ac:dyDescent="0.25">
      <c r="A320" s="175"/>
      <c r="B320" s="150"/>
      <c r="C320" s="150"/>
      <c r="D320" s="150"/>
      <c r="E320" s="30" t="s">
        <v>292</v>
      </c>
      <c r="F320" s="30" t="s">
        <v>293</v>
      </c>
      <c r="G320" s="30" t="s">
        <v>1</v>
      </c>
      <c r="H320" s="30" t="s">
        <v>2</v>
      </c>
      <c r="I320" s="30"/>
      <c r="J320" s="30"/>
      <c r="K320" s="30"/>
      <c r="L320" s="30"/>
      <c r="M320" s="30"/>
      <c r="N320" s="42"/>
    </row>
    <row r="321" spans="1:14" x14ac:dyDescent="0.25">
      <c r="A321" s="15" t="s">
        <v>45</v>
      </c>
      <c r="B321" s="5" t="s">
        <v>46</v>
      </c>
      <c r="C321" s="35">
        <v>-22.38</v>
      </c>
      <c r="D321" s="35">
        <v>-53.53</v>
      </c>
      <c r="E321" s="35"/>
      <c r="F321" s="35"/>
      <c r="G321" s="35"/>
      <c r="H321" s="35"/>
      <c r="I321" s="35"/>
      <c r="J321" s="35"/>
      <c r="K321" s="35"/>
      <c r="L321" s="35"/>
      <c r="M321" s="35"/>
      <c r="N321" s="46"/>
    </row>
    <row r="322" spans="1:14" x14ac:dyDescent="0.25">
      <c r="A322" s="94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6"/>
    </row>
    <row r="323" spans="1:14" ht="18.75" x14ac:dyDescent="0.25">
      <c r="A323" s="173" t="s">
        <v>311</v>
      </c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74"/>
    </row>
    <row r="324" spans="1:14" x14ac:dyDescent="0.25">
      <c r="A324" s="175" t="s">
        <v>292</v>
      </c>
      <c r="B324" s="150" t="s">
        <v>293</v>
      </c>
      <c r="C324" s="151" t="s">
        <v>312</v>
      </c>
      <c r="D324" s="152"/>
      <c r="E324" s="152"/>
      <c r="F324" s="153"/>
      <c r="G324" s="151" t="s">
        <v>313</v>
      </c>
      <c r="H324" s="152"/>
      <c r="I324" s="152"/>
      <c r="J324" s="153"/>
      <c r="K324" s="30"/>
      <c r="L324" s="30"/>
      <c r="M324" s="30"/>
      <c r="N324" s="42"/>
    </row>
    <row r="325" spans="1:14" x14ac:dyDescent="0.25">
      <c r="A325" s="175"/>
      <c r="B325" s="150"/>
      <c r="C325" s="154"/>
      <c r="D325" s="155"/>
      <c r="E325" s="155"/>
      <c r="F325" s="156"/>
      <c r="G325" s="154"/>
      <c r="H325" s="155"/>
      <c r="I325" s="155"/>
      <c r="J325" s="156"/>
      <c r="K325" s="30"/>
      <c r="L325" s="30"/>
      <c r="M325" s="30"/>
      <c r="N325" s="42"/>
    </row>
    <row r="326" spans="1:14" ht="15.75" thickBot="1" x14ac:dyDescent="0.3">
      <c r="A326" s="49"/>
      <c r="B326" s="50"/>
      <c r="C326" s="177"/>
      <c r="D326" s="177"/>
      <c r="E326" s="177"/>
      <c r="F326" s="177"/>
      <c r="G326" s="177"/>
      <c r="H326" s="177"/>
      <c r="I326" s="177"/>
      <c r="J326" s="177"/>
      <c r="K326" s="51"/>
      <c r="L326" s="51"/>
      <c r="M326" s="51"/>
      <c r="N326" s="52"/>
    </row>
    <row r="327" spans="1:14" ht="16.5" thickTop="1" thickBot="1" x14ac:dyDescent="0.3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</row>
    <row r="328" spans="1:14" ht="19.5" thickTop="1" x14ac:dyDescent="0.25">
      <c r="A328" s="178" t="s">
        <v>394</v>
      </c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80"/>
    </row>
    <row r="329" spans="1:14" x14ac:dyDescent="0.25">
      <c r="A329" s="171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72"/>
    </row>
    <row r="330" spans="1:14" ht="18.75" x14ac:dyDescent="0.25">
      <c r="A330" s="173" t="s">
        <v>291</v>
      </c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74"/>
    </row>
    <row r="331" spans="1:14" x14ac:dyDescent="0.25">
      <c r="A331" s="175" t="s">
        <v>292</v>
      </c>
      <c r="B331" s="150" t="s">
        <v>293</v>
      </c>
      <c r="C331" s="157" t="s">
        <v>294</v>
      </c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76"/>
    </row>
    <row r="332" spans="1:14" x14ac:dyDescent="0.25">
      <c r="A332" s="175"/>
      <c r="B332" s="150"/>
      <c r="C332" s="30" t="s">
        <v>295</v>
      </c>
      <c r="D332" s="30" t="s">
        <v>296</v>
      </c>
      <c r="E332" s="30" t="s">
        <v>297</v>
      </c>
      <c r="F332" s="30" t="s">
        <v>298</v>
      </c>
      <c r="G332" s="30" t="s">
        <v>299</v>
      </c>
      <c r="H332" s="30" t="s">
        <v>300</v>
      </c>
      <c r="I332" s="30" t="s">
        <v>301</v>
      </c>
      <c r="J332" s="30" t="s">
        <v>302</v>
      </c>
      <c r="K332" s="30" t="s">
        <v>303</v>
      </c>
      <c r="L332" s="30" t="s">
        <v>304</v>
      </c>
      <c r="M332" s="30" t="s">
        <v>305</v>
      </c>
      <c r="N332" s="42" t="s">
        <v>306</v>
      </c>
    </row>
    <row r="333" spans="1:14" x14ac:dyDescent="0.25">
      <c r="A333" s="38"/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43"/>
    </row>
    <row r="334" spans="1:14" x14ac:dyDescent="0.25">
      <c r="A334" s="171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72"/>
    </row>
    <row r="335" spans="1:14" x14ac:dyDescent="0.25">
      <c r="A335" s="175" t="s">
        <v>292</v>
      </c>
      <c r="B335" s="150" t="s">
        <v>293</v>
      </c>
      <c r="C335" s="157" t="s">
        <v>308</v>
      </c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76"/>
    </row>
    <row r="336" spans="1:14" x14ac:dyDescent="0.25">
      <c r="A336" s="175"/>
      <c r="B336" s="150"/>
      <c r="C336" s="30" t="s">
        <v>295</v>
      </c>
      <c r="D336" s="30" t="s">
        <v>296</v>
      </c>
      <c r="E336" s="30" t="s">
        <v>297</v>
      </c>
      <c r="F336" s="30" t="s">
        <v>298</v>
      </c>
      <c r="G336" s="30" t="s">
        <v>299</v>
      </c>
      <c r="H336" s="30" t="s">
        <v>300</v>
      </c>
      <c r="I336" s="30" t="s">
        <v>301</v>
      </c>
      <c r="J336" s="30" t="s">
        <v>302</v>
      </c>
      <c r="K336" s="30" t="s">
        <v>303</v>
      </c>
      <c r="L336" s="30" t="s">
        <v>304</v>
      </c>
      <c r="M336" s="30" t="s">
        <v>305</v>
      </c>
      <c r="N336" s="42" t="s">
        <v>306</v>
      </c>
    </row>
    <row r="337" spans="1:14" x14ac:dyDescent="0.25">
      <c r="A337" s="38">
        <v>64693000</v>
      </c>
      <c r="B337" s="5" t="s">
        <v>395</v>
      </c>
      <c r="C337" s="29">
        <v>6.13</v>
      </c>
      <c r="D337" s="29">
        <v>5.91</v>
      </c>
      <c r="E337" s="29">
        <v>5.39</v>
      </c>
      <c r="F337" s="29">
        <v>4.3</v>
      </c>
      <c r="G337" s="29">
        <v>2.97</v>
      </c>
      <c r="H337" s="29">
        <v>2.57</v>
      </c>
      <c r="I337" s="29">
        <v>3.39</v>
      </c>
      <c r="J337" s="29">
        <v>3.97</v>
      </c>
      <c r="K337" s="29">
        <v>4.2300000000000004</v>
      </c>
      <c r="L337" s="29">
        <v>5.52</v>
      </c>
      <c r="M337" s="29">
        <v>6.07</v>
      </c>
      <c r="N337" s="44">
        <v>5.84</v>
      </c>
    </row>
    <row r="338" spans="1:14" x14ac:dyDescent="0.25">
      <c r="A338" s="171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72"/>
    </row>
    <row r="339" spans="1:14" ht="18.75" x14ac:dyDescent="0.25">
      <c r="A339" s="173" t="s">
        <v>309</v>
      </c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74"/>
    </row>
    <row r="340" spans="1:14" x14ac:dyDescent="0.25">
      <c r="A340" s="175" t="s">
        <v>292</v>
      </c>
      <c r="B340" s="150" t="s">
        <v>293</v>
      </c>
      <c r="C340" s="150" t="s">
        <v>1</v>
      </c>
      <c r="D340" s="150" t="s">
        <v>2</v>
      </c>
      <c r="E340" s="150" t="s">
        <v>310</v>
      </c>
      <c r="F340" s="150"/>
      <c r="G340" s="150"/>
      <c r="H340" s="150"/>
      <c r="I340" s="30"/>
      <c r="J340" s="30"/>
      <c r="K340" s="30"/>
      <c r="L340" s="30"/>
      <c r="M340" s="30"/>
      <c r="N340" s="42"/>
    </row>
    <row r="341" spans="1:14" x14ac:dyDescent="0.25">
      <c r="A341" s="175"/>
      <c r="B341" s="150"/>
      <c r="C341" s="150"/>
      <c r="D341" s="150"/>
      <c r="E341" s="30" t="s">
        <v>292</v>
      </c>
      <c r="F341" s="30" t="s">
        <v>293</v>
      </c>
      <c r="G341" s="30" t="s">
        <v>1</v>
      </c>
      <c r="H341" s="30" t="s">
        <v>2</v>
      </c>
      <c r="I341" s="30"/>
      <c r="J341" s="30"/>
      <c r="K341" s="30"/>
      <c r="L341" s="30"/>
      <c r="M341" s="30"/>
      <c r="N341" s="42"/>
    </row>
    <row r="342" spans="1:14" x14ac:dyDescent="0.25">
      <c r="A342" s="15" t="s">
        <v>47</v>
      </c>
      <c r="B342" s="5" t="s">
        <v>48</v>
      </c>
      <c r="C342" s="35">
        <v>-23.18</v>
      </c>
      <c r="D342" s="35">
        <v>-53.17</v>
      </c>
      <c r="E342" s="35"/>
      <c r="F342" s="26"/>
      <c r="G342" s="35"/>
      <c r="H342" s="35"/>
      <c r="I342" s="35"/>
      <c r="J342" s="35"/>
      <c r="K342" s="35"/>
      <c r="L342" s="35"/>
      <c r="M342" s="35"/>
      <c r="N342" s="46"/>
    </row>
    <row r="343" spans="1:14" x14ac:dyDescent="0.25">
      <c r="A343" s="200"/>
      <c r="B343" s="201"/>
      <c r="C343" s="201"/>
      <c r="D343" s="201"/>
      <c r="E343" s="201"/>
      <c r="F343" s="201"/>
      <c r="G343" s="201"/>
      <c r="H343" s="201"/>
      <c r="I343" s="201"/>
      <c r="J343" s="201"/>
      <c r="K343" s="201"/>
      <c r="L343" s="201"/>
      <c r="M343" s="201"/>
      <c r="N343" s="202"/>
    </row>
    <row r="344" spans="1:14" ht="18.75" x14ac:dyDescent="0.25">
      <c r="A344" s="173" t="s">
        <v>311</v>
      </c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74"/>
    </row>
    <row r="345" spans="1:14" x14ac:dyDescent="0.25">
      <c r="A345" s="175" t="s">
        <v>292</v>
      </c>
      <c r="B345" s="150" t="s">
        <v>293</v>
      </c>
      <c r="C345" s="151" t="s">
        <v>312</v>
      </c>
      <c r="D345" s="152"/>
      <c r="E345" s="152"/>
      <c r="F345" s="153"/>
      <c r="G345" s="151" t="s">
        <v>313</v>
      </c>
      <c r="H345" s="152"/>
      <c r="I345" s="152"/>
      <c r="J345" s="153"/>
      <c r="K345" s="30"/>
      <c r="L345" s="30"/>
      <c r="M345" s="30"/>
      <c r="N345" s="42"/>
    </row>
    <row r="346" spans="1:14" x14ac:dyDescent="0.25">
      <c r="A346" s="175"/>
      <c r="B346" s="150"/>
      <c r="C346" s="154"/>
      <c r="D346" s="155"/>
      <c r="E346" s="155"/>
      <c r="F346" s="156"/>
      <c r="G346" s="154"/>
      <c r="H346" s="155"/>
      <c r="I346" s="155"/>
      <c r="J346" s="156"/>
      <c r="K346" s="30"/>
      <c r="L346" s="30"/>
      <c r="M346" s="30"/>
      <c r="N346" s="42"/>
    </row>
    <row r="347" spans="1:14" ht="15.75" thickBot="1" x14ac:dyDescent="0.3">
      <c r="A347" s="49"/>
      <c r="B347" s="50"/>
      <c r="C347" s="177"/>
      <c r="D347" s="177"/>
      <c r="E347" s="177"/>
      <c r="F347" s="177"/>
      <c r="G347" s="177"/>
      <c r="H347" s="177"/>
      <c r="I347" s="177"/>
      <c r="J347" s="177"/>
      <c r="K347" s="51"/>
      <c r="L347" s="51"/>
      <c r="M347" s="51"/>
      <c r="N347" s="52"/>
    </row>
    <row r="348" spans="1:14" ht="16.5" thickTop="1" thickBot="1" x14ac:dyDescent="0.3"/>
    <row r="349" spans="1:14" ht="19.5" thickTop="1" x14ac:dyDescent="0.25">
      <c r="A349" s="178" t="s">
        <v>396</v>
      </c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80"/>
    </row>
    <row r="350" spans="1:14" x14ac:dyDescent="0.25">
      <c r="A350" s="171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72"/>
    </row>
    <row r="351" spans="1:14" ht="18.75" x14ac:dyDescent="0.25">
      <c r="A351" s="173" t="s">
        <v>291</v>
      </c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74"/>
    </row>
    <row r="352" spans="1:14" x14ac:dyDescent="0.25">
      <c r="A352" s="175" t="s">
        <v>292</v>
      </c>
      <c r="B352" s="150" t="s">
        <v>293</v>
      </c>
      <c r="C352" s="157" t="s">
        <v>294</v>
      </c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76"/>
    </row>
    <row r="353" spans="1:14" x14ac:dyDescent="0.25">
      <c r="A353" s="175"/>
      <c r="B353" s="150"/>
      <c r="C353" s="30" t="s">
        <v>295</v>
      </c>
      <c r="D353" s="30" t="s">
        <v>296</v>
      </c>
      <c r="E353" s="30" t="s">
        <v>297</v>
      </c>
      <c r="F353" s="30" t="s">
        <v>298</v>
      </c>
      <c r="G353" s="30" t="s">
        <v>299</v>
      </c>
      <c r="H353" s="30" t="s">
        <v>300</v>
      </c>
      <c r="I353" s="30" t="s">
        <v>301</v>
      </c>
      <c r="J353" s="30" t="s">
        <v>302</v>
      </c>
      <c r="K353" s="30" t="s">
        <v>303</v>
      </c>
      <c r="L353" s="30" t="s">
        <v>304</v>
      </c>
      <c r="M353" s="30" t="s">
        <v>305</v>
      </c>
      <c r="N353" s="42" t="s">
        <v>306</v>
      </c>
    </row>
    <row r="354" spans="1:14" x14ac:dyDescent="0.25">
      <c r="A354" s="38">
        <v>119</v>
      </c>
      <c r="B354" s="5" t="s">
        <v>397</v>
      </c>
      <c r="C354" s="6">
        <v>0.183</v>
      </c>
      <c r="D354" s="6">
        <v>0.183</v>
      </c>
      <c r="E354" s="6">
        <v>0.183</v>
      </c>
      <c r="F354" s="6">
        <v>0.183</v>
      </c>
      <c r="G354" s="6">
        <v>0.183</v>
      </c>
      <c r="H354" s="6">
        <v>0.183</v>
      </c>
      <c r="I354" s="6">
        <v>0.183</v>
      </c>
      <c r="J354" s="6">
        <v>0.183</v>
      </c>
      <c r="K354" s="6">
        <v>0.183</v>
      </c>
      <c r="L354" s="6">
        <v>0.183</v>
      </c>
      <c r="M354" s="6">
        <v>0.183</v>
      </c>
      <c r="N354" s="43">
        <v>0.183</v>
      </c>
    </row>
    <row r="355" spans="1:14" x14ac:dyDescent="0.25">
      <c r="A355" s="53">
        <v>161</v>
      </c>
      <c r="B355" s="3" t="s">
        <v>398</v>
      </c>
      <c r="C355" s="7">
        <v>0.624</v>
      </c>
      <c r="D355" s="7">
        <v>0.624</v>
      </c>
      <c r="E355" s="7">
        <v>0.624</v>
      </c>
      <c r="F355" s="7">
        <v>0.624</v>
      </c>
      <c r="G355" s="7">
        <v>0.624</v>
      </c>
      <c r="H355" s="7">
        <v>0.624</v>
      </c>
      <c r="I355" s="7">
        <v>0.624</v>
      </c>
      <c r="J355" s="7">
        <v>0.624</v>
      </c>
      <c r="K355" s="7">
        <v>0.624</v>
      </c>
      <c r="L355" s="7">
        <v>0.624</v>
      </c>
      <c r="M355" s="7">
        <v>0.624</v>
      </c>
      <c r="N355" s="54">
        <v>0.624</v>
      </c>
    </row>
    <row r="356" spans="1:14" x14ac:dyDescent="0.25">
      <c r="A356" s="38">
        <v>117</v>
      </c>
      <c r="B356" s="5" t="s">
        <v>399</v>
      </c>
      <c r="C356" s="6">
        <v>0.12</v>
      </c>
      <c r="D356" s="6">
        <v>0.12</v>
      </c>
      <c r="E356" s="6">
        <v>0.12</v>
      </c>
      <c r="F356" s="6">
        <v>0.12</v>
      </c>
      <c r="G356" s="6">
        <v>0.12</v>
      </c>
      <c r="H356" s="6">
        <v>0.12</v>
      </c>
      <c r="I356" s="6">
        <v>0.12</v>
      </c>
      <c r="J356" s="6">
        <v>0.12</v>
      </c>
      <c r="K356" s="6">
        <v>0.12</v>
      </c>
      <c r="L356" s="6">
        <v>0.12</v>
      </c>
      <c r="M356" s="6">
        <v>0.12</v>
      </c>
      <c r="N356" s="43">
        <v>0.12</v>
      </c>
    </row>
    <row r="357" spans="1:14" x14ac:dyDescent="0.25">
      <c r="A357" s="53">
        <v>160</v>
      </c>
      <c r="B357" s="3" t="s">
        <v>400</v>
      </c>
      <c r="C357" s="7">
        <v>7.2999999999999995E-2</v>
      </c>
      <c r="D357" s="7">
        <v>7.2999999999999995E-2</v>
      </c>
      <c r="E357" s="7">
        <v>7.2999999999999995E-2</v>
      </c>
      <c r="F357" s="7">
        <v>7.2999999999999995E-2</v>
      </c>
      <c r="G357" s="7">
        <v>7.2999999999999995E-2</v>
      </c>
      <c r="H357" s="7">
        <v>7.2999999999999995E-2</v>
      </c>
      <c r="I357" s="7">
        <v>7.2999999999999995E-2</v>
      </c>
      <c r="J357" s="7">
        <v>7.2999999999999995E-2</v>
      </c>
      <c r="K357" s="7">
        <v>7.2999999999999995E-2</v>
      </c>
      <c r="L357" s="7">
        <v>7.2999999999999995E-2</v>
      </c>
      <c r="M357" s="7">
        <v>7.2999999999999995E-2</v>
      </c>
      <c r="N357" s="54">
        <v>7.2999999999999995E-2</v>
      </c>
    </row>
    <row r="358" spans="1:14" x14ac:dyDescent="0.25">
      <c r="A358" s="171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72"/>
    </row>
    <row r="359" spans="1:14" x14ac:dyDescent="0.25">
      <c r="A359" s="175" t="s">
        <v>292</v>
      </c>
      <c r="B359" s="150" t="s">
        <v>293</v>
      </c>
      <c r="C359" s="157" t="s">
        <v>308</v>
      </c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76"/>
    </row>
    <row r="360" spans="1:14" x14ac:dyDescent="0.25">
      <c r="A360" s="175"/>
      <c r="B360" s="150"/>
      <c r="C360" s="30" t="s">
        <v>295</v>
      </c>
      <c r="D360" s="30" t="s">
        <v>296</v>
      </c>
      <c r="E360" s="30" t="s">
        <v>297</v>
      </c>
      <c r="F360" s="30" t="s">
        <v>298</v>
      </c>
      <c r="G360" s="30" t="s">
        <v>299</v>
      </c>
      <c r="H360" s="30" t="s">
        <v>300</v>
      </c>
      <c r="I360" s="30" t="s">
        <v>301</v>
      </c>
      <c r="J360" s="30" t="s">
        <v>302</v>
      </c>
      <c r="K360" s="30" t="s">
        <v>303</v>
      </c>
      <c r="L360" s="30" t="s">
        <v>304</v>
      </c>
      <c r="M360" s="30" t="s">
        <v>305</v>
      </c>
      <c r="N360" s="42" t="s">
        <v>306</v>
      </c>
    </row>
    <row r="361" spans="1:14" x14ac:dyDescent="0.25">
      <c r="A361" s="38">
        <v>161</v>
      </c>
      <c r="B361" s="5" t="s">
        <v>398</v>
      </c>
      <c r="C361" s="29">
        <v>4.8099999999999996</v>
      </c>
      <c r="D361" s="29">
        <v>4.8899999999999997</v>
      </c>
      <c r="E361" s="29">
        <v>4.29</v>
      </c>
      <c r="F361" s="29">
        <v>3.53</v>
      </c>
      <c r="G361" s="29">
        <v>2.84</v>
      </c>
      <c r="H361" s="29">
        <v>2.5299999999999998</v>
      </c>
      <c r="I361" s="29">
        <v>2.84</v>
      </c>
      <c r="J361" s="29">
        <v>3.55</v>
      </c>
      <c r="K361" s="29">
        <v>3.7</v>
      </c>
      <c r="L361" s="29">
        <v>4.1900000000000004</v>
      </c>
      <c r="M361" s="29">
        <v>4.7699999999999996</v>
      </c>
      <c r="N361" s="44">
        <v>4.68</v>
      </c>
    </row>
    <row r="362" spans="1:14" x14ac:dyDescent="0.25">
      <c r="A362" s="171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72"/>
    </row>
    <row r="363" spans="1:14" ht="18.75" x14ac:dyDescent="0.25">
      <c r="A363" s="173" t="s">
        <v>309</v>
      </c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74"/>
    </row>
    <row r="364" spans="1:14" x14ac:dyDescent="0.25">
      <c r="A364" s="175" t="s">
        <v>292</v>
      </c>
      <c r="B364" s="150" t="s">
        <v>293</v>
      </c>
      <c r="C364" s="150" t="s">
        <v>1</v>
      </c>
      <c r="D364" s="150" t="s">
        <v>2</v>
      </c>
      <c r="E364" s="150" t="s">
        <v>310</v>
      </c>
      <c r="F364" s="150"/>
      <c r="G364" s="150"/>
      <c r="H364" s="150"/>
      <c r="I364" s="30"/>
      <c r="J364" s="30"/>
      <c r="K364" s="30"/>
      <c r="L364" s="30"/>
      <c r="M364" s="30"/>
      <c r="N364" s="42"/>
    </row>
    <row r="365" spans="1:14" x14ac:dyDescent="0.25">
      <c r="A365" s="175"/>
      <c r="B365" s="150"/>
      <c r="C365" s="150"/>
      <c r="D365" s="150"/>
      <c r="E365" s="30" t="s">
        <v>292</v>
      </c>
      <c r="F365" s="30" t="s">
        <v>293</v>
      </c>
      <c r="G365" s="30" t="s">
        <v>1</v>
      </c>
      <c r="H365" s="30" t="s">
        <v>2</v>
      </c>
      <c r="I365" s="30"/>
      <c r="J365" s="30"/>
      <c r="K365" s="30"/>
      <c r="L365" s="30"/>
      <c r="M365" s="30"/>
      <c r="N365" s="42"/>
    </row>
    <row r="366" spans="1:14" x14ac:dyDescent="0.25">
      <c r="A366" s="15" t="s">
        <v>91</v>
      </c>
      <c r="B366" s="5" t="str">
        <f>VLOOKUP($A366,PSAT!$A$1:$D$1048574,4,0)</f>
        <v>Edgard de Souza</v>
      </c>
      <c r="C366" s="29">
        <f>VLOOKUP($A366,PSAT!$A$1:$D$1048574,2,0)</f>
        <v>-23.46</v>
      </c>
      <c r="D366" s="29">
        <f>VLOOKUP($A366,PSAT!$A$1:$D$1048574,3,0)</f>
        <v>-46.91</v>
      </c>
      <c r="E366" s="6"/>
      <c r="F366" s="6"/>
      <c r="G366" s="6"/>
      <c r="H366" s="6"/>
      <c r="I366" s="35"/>
      <c r="J366" s="35"/>
      <c r="K366" s="35"/>
      <c r="L366" s="35"/>
      <c r="M366" s="35"/>
      <c r="N366" s="46"/>
    </row>
    <row r="367" spans="1:14" x14ac:dyDescent="0.25">
      <c r="A367" s="171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72"/>
    </row>
    <row r="368" spans="1:14" ht="18.75" x14ac:dyDescent="0.25">
      <c r="A368" s="173" t="s">
        <v>311</v>
      </c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74"/>
    </row>
    <row r="369" spans="1:14" x14ac:dyDescent="0.25">
      <c r="A369" s="175" t="s">
        <v>292</v>
      </c>
      <c r="B369" s="150" t="s">
        <v>293</v>
      </c>
      <c r="C369" s="151" t="s">
        <v>312</v>
      </c>
      <c r="D369" s="152"/>
      <c r="E369" s="152"/>
      <c r="F369" s="153"/>
      <c r="G369" s="151" t="s">
        <v>313</v>
      </c>
      <c r="H369" s="152"/>
      <c r="I369" s="152"/>
      <c r="J369" s="153"/>
      <c r="K369" s="30"/>
      <c r="L369" s="30"/>
      <c r="M369" s="30"/>
      <c r="N369" s="42"/>
    </row>
    <row r="370" spans="1:14" x14ac:dyDescent="0.25">
      <c r="A370" s="175"/>
      <c r="B370" s="150"/>
      <c r="C370" s="154"/>
      <c r="D370" s="155"/>
      <c r="E370" s="155"/>
      <c r="F370" s="156"/>
      <c r="G370" s="154"/>
      <c r="H370" s="155"/>
      <c r="I370" s="155"/>
      <c r="J370" s="156"/>
      <c r="K370" s="30"/>
      <c r="L370" s="30"/>
      <c r="M370" s="30"/>
      <c r="N370" s="42"/>
    </row>
    <row r="371" spans="1:14" ht="15.75" thickBot="1" x14ac:dyDescent="0.3">
      <c r="A371" s="49"/>
      <c r="B371" s="50"/>
      <c r="C371" s="177"/>
      <c r="D371" s="177"/>
      <c r="E371" s="177"/>
      <c r="F371" s="177"/>
      <c r="G371" s="177"/>
      <c r="H371" s="177"/>
      <c r="I371" s="177"/>
      <c r="J371" s="177"/>
      <c r="K371" s="51"/>
      <c r="L371" s="51"/>
      <c r="M371" s="51"/>
      <c r="N371" s="52"/>
    </row>
    <row r="372" spans="1:14" ht="16.5" thickTop="1" thickBot="1" x14ac:dyDescent="0.3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</row>
    <row r="373" spans="1:14" ht="19.5" thickTop="1" x14ac:dyDescent="0.25">
      <c r="A373" s="178" t="s">
        <v>401</v>
      </c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80"/>
    </row>
    <row r="374" spans="1:14" x14ac:dyDescent="0.25">
      <c r="A374" s="171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72"/>
    </row>
    <row r="375" spans="1:14" ht="18.75" x14ac:dyDescent="0.25">
      <c r="A375" s="173" t="s">
        <v>291</v>
      </c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74"/>
    </row>
    <row r="376" spans="1:14" x14ac:dyDescent="0.25">
      <c r="A376" s="175" t="s">
        <v>292</v>
      </c>
      <c r="B376" s="150" t="s">
        <v>293</v>
      </c>
      <c r="C376" s="157" t="s">
        <v>294</v>
      </c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76"/>
    </row>
    <row r="377" spans="1:14" x14ac:dyDescent="0.25">
      <c r="A377" s="175"/>
      <c r="B377" s="150"/>
      <c r="C377" s="30" t="s">
        <v>295</v>
      </c>
      <c r="D377" s="30" t="s">
        <v>296</v>
      </c>
      <c r="E377" s="30" t="s">
        <v>297</v>
      </c>
      <c r="F377" s="30" t="s">
        <v>298</v>
      </c>
      <c r="G377" s="30" t="s">
        <v>299</v>
      </c>
      <c r="H377" s="30" t="s">
        <v>300</v>
      </c>
      <c r="I377" s="30" t="s">
        <v>301</v>
      </c>
      <c r="J377" s="30" t="s">
        <v>302</v>
      </c>
      <c r="K377" s="30" t="s">
        <v>303</v>
      </c>
      <c r="L377" s="30" t="s">
        <v>304</v>
      </c>
      <c r="M377" s="30" t="s">
        <v>305</v>
      </c>
      <c r="N377" s="42" t="s">
        <v>306</v>
      </c>
    </row>
    <row r="378" spans="1:14" x14ac:dyDescent="0.25">
      <c r="A378" s="38">
        <v>237</v>
      </c>
      <c r="B378" s="5" t="s">
        <v>402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43"/>
    </row>
    <row r="379" spans="1:14" x14ac:dyDescent="0.25">
      <c r="A379" s="171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72"/>
    </row>
    <row r="380" spans="1:14" x14ac:dyDescent="0.25">
      <c r="A380" s="175" t="s">
        <v>292</v>
      </c>
      <c r="B380" s="150" t="s">
        <v>293</v>
      </c>
      <c r="C380" s="157" t="s">
        <v>308</v>
      </c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76"/>
    </row>
    <row r="381" spans="1:14" x14ac:dyDescent="0.25">
      <c r="A381" s="175"/>
      <c r="B381" s="150"/>
      <c r="C381" s="30" t="s">
        <v>295</v>
      </c>
      <c r="D381" s="30" t="s">
        <v>296</v>
      </c>
      <c r="E381" s="30" t="s">
        <v>297</v>
      </c>
      <c r="F381" s="30" t="s">
        <v>298</v>
      </c>
      <c r="G381" s="30" t="s">
        <v>299</v>
      </c>
      <c r="H381" s="30" t="s">
        <v>300</v>
      </c>
      <c r="I381" s="30" t="s">
        <v>301</v>
      </c>
      <c r="J381" s="30" t="s">
        <v>302</v>
      </c>
      <c r="K381" s="30" t="s">
        <v>303</v>
      </c>
      <c r="L381" s="30" t="s">
        <v>304</v>
      </c>
      <c r="M381" s="30" t="s">
        <v>305</v>
      </c>
      <c r="N381" s="42" t="s">
        <v>306</v>
      </c>
    </row>
    <row r="382" spans="1:14" x14ac:dyDescent="0.25">
      <c r="A382" s="38">
        <v>237</v>
      </c>
      <c r="B382" s="5" t="s">
        <v>402</v>
      </c>
      <c r="C382" s="29">
        <v>5.71</v>
      </c>
      <c r="D382" s="29">
        <v>5.75</v>
      </c>
      <c r="E382" s="29">
        <v>5.32</v>
      </c>
      <c r="F382" s="29">
        <v>4.43</v>
      </c>
      <c r="G382" s="29">
        <v>3.39</v>
      </c>
      <c r="H382" s="29">
        <v>3.07</v>
      </c>
      <c r="I382" s="29">
        <v>3.55</v>
      </c>
      <c r="J382" s="29">
        <v>4.45</v>
      </c>
      <c r="K382" s="29">
        <v>5</v>
      </c>
      <c r="L382" s="29">
        <v>5.77</v>
      </c>
      <c r="M382" s="29">
        <v>6.17</v>
      </c>
      <c r="N382" s="44">
        <v>5.58</v>
      </c>
    </row>
    <row r="383" spans="1:14" x14ac:dyDescent="0.25">
      <c r="A383" s="171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72"/>
    </row>
    <row r="384" spans="1:14" ht="18.75" x14ac:dyDescent="0.25">
      <c r="A384" s="173" t="s">
        <v>309</v>
      </c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74"/>
    </row>
    <row r="385" spans="1:14" x14ac:dyDescent="0.25">
      <c r="A385" s="175" t="s">
        <v>292</v>
      </c>
      <c r="B385" s="150" t="s">
        <v>293</v>
      </c>
      <c r="C385" s="150" t="s">
        <v>1</v>
      </c>
      <c r="D385" s="150" t="s">
        <v>2</v>
      </c>
      <c r="E385" s="150" t="s">
        <v>310</v>
      </c>
      <c r="F385" s="150"/>
      <c r="G385" s="150"/>
      <c r="H385" s="150"/>
      <c r="I385" s="30"/>
      <c r="J385" s="30"/>
      <c r="K385" s="30"/>
      <c r="L385" s="30"/>
      <c r="M385" s="30"/>
      <c r="N385" s="42"/>
    </row>
    <row r="386" spans="1:14" x14ac:dyDescent="0.25">
      <c r="A386" s="175"/>
      <c r="B386" s="150"/>
      <c r="C386" s="150"/>
      <c r="D386" s="150"/>
      <c r="E386" s="30" t="s">
        <v>292</v>
      </c>
      <c r="F386" s="30" t="s">
        <v>293</v>
      </c>
      <c r="G386" s="30" t="s">
        <v>1</v>
      </c>
      <c r="H386" s="30" t="s">
        <v>2</v>
      </c>
      <c r="I386" s="30"/>
      <c r="J386" s="30"/>
      <c r="K386" s="30"/>
      <c r="L386" s="30"/>
      <c r="M386" s="30"/>
      <c r="N386" s="42"/>
    </row>
    <row r="387" spans="1:14" x14ac:dyDescent="0.25">
      <c r="A387" s="15" t="s">
        <v>89</v>
      </c>
      <c r="B387" s="5" t="str">
        <f>VLOOKUP($A387,PSAT!$A$1:$D$1048574,4,0)</f>
        <v>Barra Bonita</v>
      </c>
      <c r="C387" s="29">
        <f>VLOOKUP($A387,PSAT!$A$1:$D$1048574,2,0)</f>
        <v>-22.52</v>
      </c>
      <c r="D387" s="29">
        <f>VLOOKUP($A387,PSAT!$A$1:$D$1048574,3,0)</f>
        <v>-48.55</v>
      </c>
      <c r="E387" s="6"/>
      <c r="F387" s="6"/>
      <c r="G387" s="6"/>
      <c r="H387" s="6"/>
      <c r="I387" s="35"/>
      <c r="J387" s="35"/>
      <c r="K387" s="35"/>
      <c r="L387" s="35"/>
      <c r="M387" s="35"/>
      <c r="N387" s="46"/>
    </row>
    <row r="388" spans="1:14" x14ac:dyDescent="0.25">
      <c r="A388" s="171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72"/>
    </row>
    <row r="389" spans="1:14" ht="18.75" x14ac:dyDescent="0.25">
      <c r="A389" s="173" t="s">
        <v>311</v>
      </c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74"/>
    </row>
    <row r="390" spans="1:14" x14ac:dyDescent="0.25">
      <c r="A390" s="175" t="s">
        <v>292</v>
      </c>
      <c r="B390" s="150" t="s">
        <v>293</v>
      </c>
      <c r="C390" s="151" t="s">
        <v>312</v>
      </c>
      <c r="D390" s="152"/>
      <c r="E390" s="152"/>
      <c r="F390" s="153"/>
      <c r="G390" s="151" t="s">
        <v>313</v>
      </c>
      <c r="H390" s="152"/>
      <c r="I390" s="152"/>
      <c r="J390" s="153"/>
      <c r="K390" s="30"/>
      <c r="L390" s="30"/>
      <c r="M390" s="30"/>
      <c r="N390" s="42"/>
    </row>
    <row r="391" spans="1:14" x14ac:dyDescent="0.25">
      <c r="A391" s="175"/>
      <c r="B391" s="150"/>
      <c r="C391" s="154"/>
      <c r="D391" s="155"/>
      <c r="E391" s="155"/>
      <c r="F391" s="156"/>
      <c r="G391" s="154"/>
      <c r="H391" s="155"/>
      <c r="I391" s="155"/>
      <c r="J391" s="156"/>
      <c r="K391" s="30"/>
      <c r="L391" s="30"/>
      <c r="M391" s="30"/>
      <c r="N391" s="42"/>
    </row>
    <row r="392" spans="1:14" x14ac:dyDescent="0.25">
      <c r="A392" s="15"/>
      <c r="B392" s="5"/>
      <c r="C392" s="164"/>
      <c r="D392" s="164"/>
      <c r="E392" s="164"/>
      <c r="F392" s="164"/>
      <c r="G392" s="164"/>
      <c r="H392" s="164"/>
      <c r="I392" s="164"/>
      <c r="J392" s="164"/>
      <c r="K392" s="35"/>
      <c r="L392" s="35"/>
      <c r="M392" s="35"/>
      <c r="N392" s="16"/>
    </row>
    <row r="393" spans="1:14" ht="15.75" thickBot="1" x14ac:dyDescent="0.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</row>
    <row r="394" spans="1:14" ht="19.5" thickTop="1" x14ac:dyDescent="0.25">
      <c r="A394" s="178" t="s">
        <v>403</v>
      </c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80"/>
    </row>
    <row r="395" spans="1:14" x14ac:dyDescent="0.25">
      <c r="A395" s="171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72"/>
    </row>
    <row r="396" spans="1:14" ht="18.75" x14ac:dyDescent="0.25">
      <c r="A396" s="173" t="s">
        <v>291</v>
      </c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74"/>
    </row>
    <row r="397" spans="1:14" x14ac:dyDescent="0.25">
      <c r="A397" s="175" t="s">
        <v>292</v>
      </c>
      <c r="B397" s="150" t="s">
        <v>293</v>
      </c>
      <c r="C397" s="157" t="s">
        <v>294</v>
      </c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76"/>
    </row>
    <row r="398" spans="1:14" x14ac:dyDescent="0.25">
      <c r="A398" s="175"/>
      <c r="B398" s="150"/>
      <c r="C398" s="30" t="s">
        <v>295</v>
      </c>
      <c r="D398" s="30" t="s">
        <v>296</v>
      </c>
      <c r="E398" s="30" t="s">
        <v>297</v>
      </c>
      <c r="F398" s="30" t="s">
        <v>298</v>
      </c>
      <c r="G398" s="30" t="s">
        <v>299</v>
      </c>
      <c r="H398" s="30" t="s">
        <v>300</v>
      </c>
      <c r="I398" s="30" t="s">
        <v>301</v>
      </c>
      <c r="J398" s="30" t="s">
        <v>302</v>
      </c>
      <c r="K398" s="30" t="s">
        <v>303</v>
      </c>
      <c r="L398" s="30" t="s">
        <v>304</v>
      </c>
      <c r="M398" s="30" t="s">
        <v>305</v>
      </c>
      <c r="N398" s="42" t="s">
        <v>306</v>
      </c>
    </row>
    <row r="399" spans="1:14" x14ac:dyDescent="0.25">
      <c r="A399" s="38">
        <v>238</v>
      </c>
      <c r="B399" s="5" t="s">
        <v>404</v>
      </c>
      <c r="C399" s="6">
        <v>0.34200000000000003</v>
      </c>
      <c r="D399" s="6">
        <v>0.34200000000000003</v>
      </c>
      <c r="E399" s="6">
        <v>0.34200000000000003</v>
      </c>
      <c r="F399" s="6">
        <v>0.34200000000000003</v>
      </c>
      <c r="G399" s="6">
        <v>0.34200000000000003</v>
      </c>
      <c r="H399" s="6">
        <v>0.34200000000000003</v>
      </c>
      <c r="I399" s="6">
        <v>0.34200000000000003</v>
      </c>
      <c r="J399" s="6">
        <v>0.34200000000000003</v>
      </c>
      <c r="K399" s="6">
        <v>0.34200000000000003</v>
      </c>
      <c r="L399" s="6">
        <v>0.34200000000000003</v>
      </c>
      <c r="M399" s="6">
        <v>0.34200000000000003</v>
      </c>
      <c r="N399" s="6">
        <v>0.34200000000000003</v>
      </c>
    </row>
    <row r="400" spans="1:14" x14ac:dyDescent="0.25">
      <c r="A400" s="53">
        <v>239</v>
      </c>
      <c r="B400" s="3" t="s">
        <v>94</v>
      </c>
      <c r="C400" s="7">
        <v>0.65800000000000003</v>
      </c>
      <c r="D400" s="7">
        <v>0.65800000000000003</v>
      </c>
      <c r="E400" s="7">
        <v>0.65800000000000003</v>
      </c>
      <c r="F400" s="7">
        <v>0.65800000000000003</v>
      </c>
      <c r="G400" s="7">
        <v>0.65800000000000003</v>
      </c>
      <c r="H400" s="7">
        <v>0.65800000000000003</v>
      </c>
      <c r="I400" s="7">
        <v>0.65800000000000003</v>
      </c>
      <c r="J400" s="7">
        <v>0.65800000000000003</v>
      </c>
      <c r="K400" s="7">
        <v>0.65800000000000003</v>
      </c>
      <c r="L400" s="7">
        <v>0.65800000000000003</v>
      </c>
      <c r="M400" s="7">
        <v>0.65800000000000003</v>
      </c>
      <c r="N400" s="7">
        <v>0.65800000000000003</v>
      </c>
    </row>
    <row r="401" spans="1:14" x14ac:dyDescent="0.25">
      <c r="A401" s="171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72"/>
    </row>
    <row r="402" spans="1:14" x14ac:dyDescent="0.25">
      <c r="A402" s="175" t="s">
        <v>292</v>
      </c>
      <c r="B402" s="150" t="s">
        <v>293</v>
      </c>
      <c r="C402" s="157" t="s">
        <v>308</v>
      </c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76"/>
    </row>
    <row r="403" spans="1:14" x14ac:dyDescent="0.25">
      <c r="A403" s="175"/>
      <c r="B403" s="150"/>
      <c r="C403" s="30" t="s">
        <v>295</v>
      </c>
      <c r="D403" s="30" t="s">
        <v>296</v>
      </c>
      <c r="E403" s="30" t="s">
        <v>297</v>
      </c>
      <c r="F403" s="30" t="s">
        <v>298</v>
      </c>
      <c r="G403" s="30" t="s">
        <v>299</v>
      </c>
      <c r="H403" s="30" t="s">
        <v>300</v>
      </c>
      <c r="I403" s="30" t="s">
        <v>301</v>
      </c>
      <c r="J403" s="30" t="s">
        <v>302</v>
      </c>
      <c r="K403" s="30" t="s">
        <v>303</v>
      </c>
      <c r="L403" s="30" t="s">
        <v>304</v>
      </c>
      <c r="M403" s="30" t="s">
        <v>305</v>
      </c>
      <c r="N403" s="42" t="s">
        <v>306</v>
      </c>
    </row>
    <row r="404" spans="1:14" x14ac:dyDescent="0.25">
      <c r="A404" s="38">
        <v>239</v>
      </c>
      <c r="B404" s="5" t="s">
        <v>94</v>
      </c>
      <c r="C404" s="29">
        <v>5.81</v>
      </c>
      <c r="D404" s="29">
        <v>5.96</v>
      </c>
      <c r="E404" s="29">
        <v>5.48</v>
      </c>
      <c r="F404" s="29">
        <v>4.63</v>
      </c>
      <c r="G404" s="29">
        <v>3.68</v>
      </c>
      <c r="H404" s="29">
        <v>3.37</v>
      </c>
      <c r="I404" s="29">
        <v>3.87</v>
      </c>
      <c r="J404" s="29">
        <v>4.8099999999999996</v>
      </c>
      <c r="K404" s="29">
        <v>5.37</v>
      </c>
      <c r="L404" s="29">
        <v>6.1</v>
      </c>
      <c r="M404" s="29">
        <v>6.37</v>
      </c>
      <c r="N404" s="44">
        <v>5.68</v>
      </c>
    </row>
    <row r="405" spans="1:14" x14ac:dyDescent="0.25">
      <c r="A405" s="171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72"/>
    </row>
    <row r="406" spans="1:14" ht="18.75" x14ac:dyDescent="0.25">
      <c r="A406" s="173" t="s">
        <v>309</v>
      </c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74"/>
    </row>
    <row r="407" spans="1:14" x14ac:dyDescent="0.25">
      <c r="A407" s="175" t="s">
        <v>292</v>
      </c>
      <c r="B407" s="150" t="s">
        <v>293</v>
      </c>
      <c r="C407" s="150" t="s">
        <v>1</v>
      </c>
      <c r="D407" s="150" t="s">
        <v>2</v>
      </c>
      <c r="E407" s="150" t="s">
        <v>310</v>
      </c>
      <c r="F407" s="150"/>
      <c r="G407" s="150"/>
      <c r="H407" s="150"/>
      <c r="I407" s="30"/>
      <c r="J407" s="30"/>
      <c r="K407" s="30"/>
      <c r="L407" s="30"/>
      <c r="M407" s="30"/>
      <c r="N407" s="42"/>
    </row>
    <row r="408" spans="1:14" x14ac:dyDescent="0.25">
      <c r="A408" s="175"/>
      <c r="B408" s="150"/>
      <c r="C408" s="150"/>
      <c r="D408" s="150"/>
      <c r="E408" s="30" t="s">
        <v>292</v>
      </c>
      <c r="F408" s="30" t="s">
        <v>293</v>
      </c>
      <c r="G408" s="30" t="s">
        <v>1</v>
      </c>
      <c r="H408" s="30" t="s">
        <v>2</v>
      </c>
      <c r="I408" s="30"/>
      <c r="J408" s="30"/>
      <c r="K408" s="30"/>
      <c r="L408" s="30"/>
      <c r="M408" s="30"/>
      <c r="N408" s="42"/>
    </row>
    <row r="409" spans="1:14" x14ac:dyDescent="0.25">
      <c r="A409" s="15" t="s">
        <v>93</v>
      </c>
      <c r="B409" s="5" t="str">
        <f>VLOOKUP($A409,PSAT!$A$1:$D$1048574,4,0)</f>
        <v>Ibitinga</v>
      </c>
      <c r="C409" s="29">
        <f>VLOOKUP($A409,PSAT!$A$1:$D$1048574,2,0)</f>
        <v>-21.76</v>
      </c>
      <c r="D409" s="29">
        <f>VLOOKUP($A409,PSAT!$A$1:$D$1048574,3,0)</f>
        <v>-48.99</v>
      </c>
      <c r="E409" s="6"/>
      <c r="F409" s="6"/>
      <c r="G409" s="6"/>
      <c r="H409" s="6"/>
      <c r="I409" s="35"/>
      <c r="J409" s="35"/>
      <c r="K409" s="35"/>
      <c r="L409" s="35"/>
      <c r="M409" s="35"/>
      <c r="N409" s="46"/>
    </row>
    <row r="410" spans="1:14" x14ac:dyDescent="0.25">
      <c r="A410" s="171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72"/>
    </row>
    <row r="411" spans="1:14" ht="18.75" x14ac:dyDescent="0.25">
      <c r="A411" s="173" t="s">
        <v>311</v>
      </c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74"/>
    </row>
    <row r="412" spans="1:14" x14ac:dyDescent="0.25">
      <c r="A412" s="175" t="s">
        <v>292</v>
      </c>
      <c r="B412" s="150" t="s">
        <v>293</v>
      </c>
      <c r="C412" s="151" t="s">
        <v>312</v>
      </c>
      <c r="D412" s="152"/>
      <c r="E412" s="152"/>
      <c r="F412" s="153"/>
      <c r="G412" s="151" t="s">
        <v>313</v>
      </c>
      <c r="H412" s="152"/>
      <c r="I412" s="152"/>
      <c r="J412" s="153"/>
      <c r="K412" s="30"/>
      <c r="L412" s="30"/>
      <c r="M412" s="30"/>
      <c r="N412" s="42"/>
    </row>
    <row r="413" spans="1:14" x14ac:dyDescent="0.25">
      <c r="A413" s="175"/>
      <c r="B413" s="150"/>
      <c r="C413" s="154"/>
      <c r="D413" s="155"/>
      <c r="E413" s="155"/>
      <c r="F413" s="156"/>
      <c r="G413" s="154"/>
      <c r="H413" s="155"/>
      <c r="I413" s="155"/>
      <c r="J413" s="156"/>
      <c r="K413" s="30"/>
      <c r="L413" s="30"/>
      <c r="M413" s="30"/>
      <c r="N413" s="42"/>
    </row>
    <row r="414" spans="1:14" ht="15.75" thickBot="1" x14ac:dyDescent="0.3">
      <c r="A414" s="49"/>
      <c r="B414" s="50"/>
      <c r="C414" s="177"/>
      <c r="D414" s="177"/>
      <c r="E414" s="177"/>
      <c r="F414" s="177"/>
      <c r="G414" s="177"/>
      <c r="H414" s="177"/>
      <c r="I414" s="177"/>
      <c r="J414" s="177"/>
      <c r="K414" s="51"/>
      <c r="L414" s="51"/>
      <c r="M414" s="51"/>
      <c r="N414" s="52"/>
    </row>
    <row r="415" spans="1:14" ht="16.5" thickTop="1" thickBot="1" x14ac:dyDescent="0.3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</row>
    <row r="416" spans="1:14" ht="19.5" thickTop="1" x14ac:dyDescent="0.25">
      <c r="A416" s="178" t="s">
        <v>405</v>
      </c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80"/>
    </row>
    <row r="417" spans="1:14" x14ac:dyDescent="0.25">
      <c r="A417" s="171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72"/>
    </row>
    <row r="418" spans="1:14" ht="18.75" x14ac:dyDescent="0.25">
      <c r="A418" s="173" t="s">
        <v>291</v>
      </c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74"/>
    </row>
    <row r="419" spans="1:14" x14ac:dyDescent="0.25">
      <c r="A419" s="175" t="s">
        <v>292</v>
      </c>
      <c r="B419" s="150" t="s">
        <v>293</v>
      </c>
      <c r="C419" s="157" t="s">
        <v>294</v>
      </c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76"/>
    </row>
    <row r="420" spans="1:14" x14ac:dyDescent="0.25">
      <c r="A420" s="175"/>
      <c r="B420" s="150"/>
      <c r="C420" s="30" t="s">
        <v>295</v>
      </c>
      <c r="D420" s="30" t="s">
        <v>296</v>
      </c>
      <c r="E420" s="30" t="s">
        <v>297</v>
      </c>
      <c r="F420" s="30" t="s">
        <v>298</v>
      </c>
      <c r="G420" s="30" t="s">
        <v>299</v>
      </c>
      <c r="H420" s="30" t="s">
        <v>300</v>
      </c>
      <c r="I420" s="30" t="s">
        <v>301</v>
      </c>
      <c r="J420" s="30" t="s">
        <v>302</v>
      </c>
      <c r="K420" s="30" t="s">
        <v>303</v>
      </c>
      <c r="L420" s="30" t="s">
        <v>304</v>
      </c>
      <c r="M420" s="30" t="s">
        <v>305</v>
      </c>
      <c r="N420" s="42" t="s">
        <v>306</v>
      </c>
    </row>
    <row r="421" spans="1:14" x14ac:dyDescent="0.25">
      <c r="A421" s="38">
        <v>242</v>
      </c>
      <c r="B421" s="5" t="s">
        <v>406</v>
      </c>
      <c r="C421" s="6">
        <v>0.28299999999999997</v>
      </c>
      <c r="D421" s="6">
        <v>0.28299999999999997</v>
      </c>
      <c r="E421" s="6">
        <v>0.28299999999999997</v>
      </c>
      <c r="F421" s="6">
        <v>0.28299999999999997</v>
      </c>
      <c r="G421" s="6">
        <v>0.28299999999999997</v>
      </c>
      <c r="H421" s="6">
        <v>0.28299999999999997</v>
      </c>
      <c r="I421" s="6">
        <v>0.28299999999999997</v>
      </c>
      <c r="J421" s="6">
        <v>0.28299999999999997</v>
      </c>
      <c r="K421" s="6">
        <v>0.28299999999999997</v>
      </c>
      <c r="L421" s="6">
        <v>0.28299999999999997</v>
      </c>
      <c r="M421" s="6">
        <v>0.28299999999999997</v>
      </c>
      <c r="N421" s="6">
        <v>0.28299999999999997</v>
      </c>
    </row>
    <row r="422" spans="1:14" x14ac:dyDescent="0.25">
      <c r="A422" s="53">
        <v>240</v>
      </c>
      <c r="B422" s="3" t="s">
        <v>407</v>
      </c>
      <c r="C422" s="7">
        <v>0.71699999999999997</v>
      </c>
      <c r="D422" s="7">
        <v>0.71699999999999997</v>
      </c>
      <c r="E422" s="7">
        <v>0.71699999999999997</v>
      </c>
      <c r="F422" s="7">
        <v>0.71699999999999997</v>
      </c>
      <c r="G422" s="7">
        <v>0.71699999999999997</v>
      </c>
      <c r="H422" s="7">
        <v>0.71699999999999997</v>
      </c>
      <c r="I422" s="7">
        <v>0.71699999999999997</v>
      </c>
      <c r="J422" s="7">
        <v>0.71699999999999997</v>
      </c>
      <c r="K422" s="7">
        <v>0.71699999999999997</v>
      </c>
      <c r="L422" s="7">
        <v>0.71699999999999997</v>
      </c>
      <c r="M422" s="7">
        <v>0.71699999999999997</v>
      </c>
      <c r="N422" s="7">
        <v>0.71699999999999997</v>
      </c>
    </row>
    <row r="423" spans="1:14" x14ac:dyDescent="0.25">
      <c r="A423" s="171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72"/>
    </row>
    <row r="424" spans="1:14" x14ac:dyDescent="0.25">
      <c r="A424" s="175" t="s">
        <v>292</v>
      </c>
      <c r="B424" s="150" t="s">
        <v>293</v>
      </c>
      <c r="C424" s="157" t="s">
        <v>308</v>
      </c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76"/>
    </row>
    <row r="425" spans="1:14" x14ac:dyDescent="0.25">
      <c r="A425" s="175"/>
      <c r="B425" s="150"/>
      <c r="C425" s="30" t="s">
        <v>295</v>
      </c>
      <c r="D425" s="30" t="s">
        <v>296</v>
      </c>
      <c r="E425" s="30" t="s">
        <v>297</v>
      </c>
      <c r="F425" s="30" t="s">
        <v>298</v>
      </c>
      <c r="G425" s="30" t="s">
        <v>299</v>
      </c>
      <c r="H425" s="30" t="s">
        <v>300</v>
      </c>
      <c r="I425" s="30" t="s">
        <v>301</v>
      </c>
      <c r="J425" s="30" t="s">
        <v>302</v>
      </c>
      <c r="K425" s="30" t="s">
        <v>303</v>
      </c>
      <c r="L425" s="30" t="s">
        <v>304</v>
      </c>
      <c r="M425" s="30" t="s">
        <v>305</v>
      </c>
      <c r="N425" s="42" t="s">
        <v>306</v>
      </c>
    </row>
    <row r="426" spans="1:14" x14ac:dyDescent="0.25">
      <c r="A426" s="38">
        <v>242</v>
      </c>
      <c r="B426" s="5" t="s">
        <v>406</v>
      </c>
      <c r="C426" s="29">
        <v>5.9</v>
      </c>
      <c r="D426" s="29">
        <v>6.18</v>
      </c>
      <c r="E426" s="29">
        <v>5.65</v>
      </c>
      <c r="F426" s="29">
        <v>4.7699999999999996</v>
      </c>
      <c r="G426" s="29">
        <v>3.97</v>
      </c>
      <c r="H426" s="29">
        <v>3.67</v>
      </c>
      <c r="I426" s="29">
        <v>4.16</v>
      </c>
      <c r="J426" s="29">
        <v>5.16</v>
      </c>
      <c r="K426" s="29">
        <v>5.67</v>
      </c>
      <c r="L426" s="29">
        <v>6.42</v>
      </c>
      <c r="M426" s="29">
        <v>6.53</v>
      </c>
      <c r="N426" s="44">
        <v>5.84</v>
      </c>
    </row>
    <row r="427" spans="1:14" x14ac:dyDescent="0.25">
      <c r="A427" s="171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72"/>
    </row>
    <row r="428" spans="1:14" ht="18.75" x14ac:dyDescent="0.25">
      <c r="A428" s="173" t="s">
        <v>309</v>
      </c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74"/>
    </row>
    <row r="429" spans="1:14" x14ac:dyDescent="0.25">
      <c r="A429" s="175" t="s">
        <v>292</v>
      </c>
      <c r="B429" s="150" t="s">
        <v>293</v>
      </c>
      <c r="C429" s="150" t="s">
        <v>1</v>
      </c>
      <c r="D429" s="150" t="s">
        <v>2</v>
      </c>
      <c r="E429" s="150" t="s">
        <v>310</v>
      </c>
      <c r="F429" s="150"/>
      <c r="G429" s="150"/>
      <c r="H429" s="150"/>
      <c r="I429" s="30"/>
      <c r="J429" s="30"/>
      <c r="K429" s="30"/>
      <c r="L429" s="30"/>
      <c r="M429" s="30"/>
      <c r="N429" s="42"/>
    </row>
    <row r="430" spans="1:14" x14ac:dyDescent="0.25">
      <c r="A430" s="175"/>
      <c r="B430" s="150"/>
      <c r="C430" s="150"/>
      <c r="D430" s="150"/>
      <c r="E430" s="30" t="s">
        <v>292</v>
      </c>
      <c r="F430" s="30" t="s">
        <v>293</v>
      </c>
      <c r="G430" s="30" t="s">
        <v>1</v>
      </c>
      <c r="H430" s="30" t="s">
        <v>2</v>
      </c>
      <c r="I430" s="30"/>
      <c r="J430" s="30"/>
      <c r="K430" s="30"/>
      <c r="L430" s="30"/>
      <c r="M430" s="30"/>
      <c r="N430" s="42"/>
    </row>
    <row r="431" spans="1:14" x14ac:dyDescent="0.25">
      <c r="A431" s="15" t="s">
        <v>95</v>
      </c>
      <c r="B431" s="5" t="str">
        <f>VLOOKUP($A431,PSAT!$A$1:$D$1048574,4,0)</f>
        <v>Nova Avanhandava</v>
      </c>
      <c r="C431" s="29">
        <f>VLOOKUP($A431,PSAT!$A$1:$D$1048574,2,0)</f>
        <v>-21.12</v>
      </c>
      <c r="D431" s="29">
        <f>VLOOKUP($A431,PSAT!$A$1:$D$1048574,3,0)</f>
        <v>-50.2</v>
      </c>
      <c r="E431" s="6"/>
      <c r="F431" s="6"/>
      <c r="G431" s="6"/>
      <c r="H431" s="6"/>
      <c r="I431" s="35"/>
      <c r="J431" s="35"/>
      <c r="K431" s="35"/>
      <c r="L431" s="35"/>
      <c r="M431" s="35"/>
      <c r="N431" s="46"/>
    </row>
    <row r="432" spans="1:14" x14ac:dyDescent="0.25">
      <c r="A432" s="171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72"/>
    </row>
    <row r="433" spans="1:14" ht="18.75" x14ac:dyDescent="0.25">
      <c r="A433" s="173" t="s">
        <v>311</v>
      </c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74"/>
    </row>
    <row r="434" spans="1:14" x14ac:dyDescent="0.25">
      <c r="A434" s="175" t="s">
        <v>292</v>
      </c>
      <c r="B434" s="150" t="s">
        <v>293</v>
      </c>
      <c r="C434" s="151" t="s">
        <v>312</v>
      </c>
      <c r="D434" s="152"/>
      <c r="E434" s="152"/>
      <c r="F434" s="153"/>
      <c r="G434" s="151" t="s">
        <v>313</v>
      </c>
      <c r="H434" s="152"/>
      <c r="I434" s="152"/>
      <c r="J434" s="153"/>
      <c r="K434" s="30"/>
      <c r="L434" s="30"/>
      <c r="M434" s="30"/>
      <c r="N434" s="42"/>
    </row>
    <row r="435" spans="1:14" x14ac:dyDescent="0.25">
      <c r="A435" s="175"/>
      <c r="B435" s="150"/>
      <c r="C435" s="154"/>
      <c r="D435" s="155"/>
      <c r="E435" s="155"/>
      <c r="F435" s="156"/>
      <c r="G435" s="154"/>
      <c r="H435" s="155"/>
      <c r="I435" s="155"/>
      <c r="J435" s="156"/>
      <c r="K435" s="30"/>
      <c r="L435" s="30"/>
      <c r="M435" s="30"/>
      <c r="N435" s="42"/>
    </row>
    <row r="436" spans="1:14" ht="15.75" thickBot="1" x14ac:dyDescent="0.3">
      <c r="A436" s="49"/>
      <c r="B436" s="50"/>
      <c r="C436" s="177"/>
      <c r="D436" s="177"/>
      <c r="E436" s="177"/>
      <c r="F436" s="177"/>
      <c r="G436" s="177"/>
      <c r="H436" s="177"/>
      <c r="I436" s="177"/>
      <c r="J436" s="177"/>
      <c r="K436" s="51"/>
      <c r="L436" s="51"/>
      <c r="M436" s="51"/>
      <c r="N436" s="52"/>
    </row>
    <row r="437" spans="1:14" ht="15.75" thickTop="1" x14ac:dyDescent="0.25"/>
  </sheetData>
  <mergeCells count="518">
    <mergeCell ref="C436:F436"/>
    <mergeCell ref="G436:J436"/>
    <mergeCell ref="A429:A430"/>
    <mergeCell ref="B429:B430"/>
    <mergeCell ref="C429:C430"/>
    <mergeCell ref="D429:D430"/>
    <mergeCell ref="E429:H429"/>
    <mergeCell ref="A432:N432"/>
    <mergeCell ref="A433:N433"/>
    <mergeCell ref="A434:A435"/>
    <mergeCell ref="B434:B435"/>
    <mergeCell ref="C434:F435"/>
    <mergeCell ref="G434:J435"/>
    <mergeCell ref="A419:A420"/>
    <mergeCell ref="B419:B420"/>
    <mergeCell ref="C419:N419"/>
    <mergeCell ref="A423:N423"/>
    <mergeCell ref="A424:A425"/>
    <mergeCell ref="B424:B425"/>
    <mergeCell ref="C424:N424"/>
    <mergeCell ref="A427:N427"/>
    <mergeCell ref="A428:N428"/>
    <mergeCell ref="A412:A413"/>
    <mergeCell ref="B412:B413"/>
    <mergeCell ref="C412:F413"/>
    <mergeCell ref="G412:J413"/>
    <mergeCell ref="C414:F414"/>
    <mergeCell ref="G414:J414"/>
    <mergeCell ref="A416:N416"/>
    <mergeCell ref="A417:N417"/>
    <mergeCell ref="A418:N418"/>
    <mergeCell ref="A405:N405"/>
    <mergeCell ref="A406:N406"/>
    <mergeCell ref="A407:A408"/>
    <mergeCell ref="B407:B408"/>
    <mergeCell ref="C407:C408"/>
    <mergeCell ref="D407:D408"/>
    <mergeCell ref="E407:H407"/>
    <mergeCell ref="A410:N410"/>
    <mergeCell ref="A411:N411"/>
    <mergeCell ref="A395:N395"/>
    <mergeCell ref="A396:N396"/>
    <mergeCell ref="A397:A398"/>
    <mergeCell ref="B397:B398"/>
    <mergeCell ref="C397:N397"/>
    <mergeCell ref="A401:N401"/>
    <mergeCell ref="A402:A403"/>
    <mergeCell ref="B402:B403"/>
    <mergeCell ref="C402:N402"/>
    <mergeCell ref="A388:N388"/>
    <mergeCell ref="A389:N389"/>
    <mergeCell ref="A390:A391"/>
    <mergeCell ref="B390:B391"/>
    <mergeCell ref="C390:F391"/>
    <mergeCell ref="G390:J391"/>
    <mergeCell ref="C392:F392"/>
    <mergeCell ref="G392:J392"/>
    <mergeCell ref="A394:N394"/>
    <mergeCell ref="A380:A381"/>
    <mergeCell ref="B380:B381"/>
    <mergeCell ref="C380:N380"/>
    <mergeCell ref="A383:N383"/>
    <mergeCell ref="A384:N384"/>
    <mergeCell ref="A385:A386"/>
    <mergeCell ref="B385:B386"/>
    <mergeCell ref="C385:C386"/>
    <mergeCell ref="D385:D386"/>
    <mergeCell ref="E385:H385"/>
    <mergeCell ref="C371:F371"/>
    <mergeCell ref="G371:J371"/>
    <mergeCell ref="A373:N373"/>
    <mergeCell ref="A374:N374"/>
    <mergeCell ref="A375:N375"/>
    <mergeCell ref="A376:A377"/>
    <mergeCell ref="B376:B377"/>
    <mergeCell ref="C376:N376"/>
    <mergeCell ref="A379:N379"/>
    <mergeCell ref="A364:A365"/>
    <mergeCell ref="B364:B365"/>
    <mergeCell ref="C364:C365"/>
    <mergeCell ref="D364:D365"/>
    <mergeCell ref="E364:H364"/>
    <mergeCell ref="A367:N367"/>
    <mergeCell ref="A368:N368"/>
    <mergeCell ref="A369:A370"/>
    <mergeCell ref="B369:B370"/>
    <mergeCell ref="C369:F370"/>
    <mergeCell ref="G369:J370"/>
    <mergeCell ref="A352:A353"/>
    <mergeCell ref="B352:B353"/>
    <mergeCell ref="C352:N352"/>
    <mergeCell ref="A358:N358"/>
    <mergeCell ref="A359:A360"/>
    <mergeCell ref="B359:B360"/>
    <mergeCell ref="C359:N359"/>
    <mergeCell ref="A362:N362"/>
    <mergeCell ref="A363:N363"/>
    <mergeCell ref="A345:A346"/>
    <mergeCell ref="B345:B346"/>
    <mergeCell ref="C345:F346"/>
    <mergeCell ref="G345:J346"/>
    <mergeCell ref="C347:F347"/>
    <mergeCell ref="G347:J347"/>
    <mergeCell ref="A349:N349"/>
    <mergeCell ref="A350:N350"/>
    <mergeCell ref="A351:N351"/>
    <mergeCell ref="A338:N338"/>
    <mergeCell ref="A339:N339"/>
    <mergeCell ref="A340:A341"/>
    <mergeCell ref="B340:B341"/>
    <mergeCell ref="C340:C341"/>
    <mergeCell ref="D340:D341"/>
    <mergeCell ref="E340:H340"/>
    <mergeCell ref="A343:N343"/>
    <mergeCell ref="A344:N344"/>
    <mergeCell ref="A329:N329"/>
    <mergeCell ref="A330:N330"/>
    <mergeCell ref="A331:A332"/>
    <mergeCell ref="B331:B332"/>
    <mergeCell ref="C331:N331"/>
    <mergeCell ref="A334:N334"/>
    <mergeCell ref="A335:A336"/>
    <mergeCell ref="B335:B336"/>
    <mergeCell ref="C335:N335"/>
    <mergeCell ref="A323:N323"/>
    <mergeCell ref="A324:A325"/>
    <mergeCell ref="B324:B325"/>
    <mergeCell ref="C324:F325"/>
    <mergeCell ref="G324:J325"/>
    <mergeCell ref="C326:F326"/>
    <mergeCell ref="G326:J326"/>
    <mergeCell ref="A327:N327"/>
    <mergeCell ref="A328:N328"/>
    <mergeCell ref="A313:N313"/>
    <mergeCell ref="A314:A315"/>
    <mergeCell ref="B314:B315"/>
    <mergeCell ref="C314:N314"/>
    <mergeCell ref="A317:N317"/>
    <mergeCell ref="A318:N318"/>
    <mergeCell ref="A319:A320"/>
    <mergeCell ref="B319:B320"/>
    <mergeCell ref="C319:C320"/>
    <mergeCell ref="D319:D320"/>
    <mergeCell ref="E319:H319"/>
    <mergeCell ref="C304:F304"/>
    <mergeCell ref="G304:J304"/>
    <mergeCell ref="C305:F305"/>
    <mergeCell ref="G305:J305"/>
    <mergeCell ref="A306:N306"/>
    <mergeCell ref="A307:N307"/>
    <mergeCell ref="A308:N308"/>
    <mergeCell ref="A309:N309"/>
    <mergeCell ref="A310:A311"/>
    <mergeCell ref="B310:B311"/>
    <mergeCell ref="C310:N310"/>
    <mergeCell ref="A299:N299"/>
    <mergeCell ref="A300:A301"/>
    <mergeCell ref="B300:B301"/>
    <mergeCell ref="C300:F301"/>
    <mergeCell ref="G300:J301"/>
    <mergeCell ref="C302:F302"/>
    <mergeCell ref="G302:J302"/>
    <mergeCell ref="C303:F303"/>
    <mergeCell ref="G303:J303"/>
    <mergeCell ref="A289:N289"/>
    <mergeCell ref="A290:A291"/>
    <mergeCell ref="B290:B291"/>
    <mergeCell ref="C290:N290"/>
    <mergeCell ref="A293:N293"/>
    <mergeCell ref="A294:N294"/>
    <mergeCell ref="A295:A296"/>
    <mergeCell ref="B295:B296"/>
    <mergeCell ref="C295:C296"/>
    <mergeCell ref="D295:D296"/>
    <mergeCell ref="E295:H295"/>
    <mergeCell ref="C281:F281"/>
    <mergeCell ref="G281:J281"/>
    <mergeCell ref="A282:N282"/>
    <mergeCell ref="A283:N283"/>
    <mergeCell ref="A284:N284"/>
    <mergeCell ref="A285:N285"/>
    <mergeCell ref="A286:A287"/>
    <mergeCell ref="B286:B287"/>
    <mergeCell ref="C286:N286"/>
    <mergeCell ref="A272:N272"/>
    <mergeCell ref="A273:N273"/>
    <mergeCell ref="A274:A275"/>
    <mergeCell ref="B274:B275"/>
    <mergeCell ref="C274:C275"/>
    <mergeCell ref="D274:D275"/>
    <mergeCell ref="E274:H274"/>
    <mergeCell ref="A278:N278"/>
    <mergeCell ref="A279:A280"/>
    <mergeCell ref="B279:B280"/>
    <mergeCell ref="C279:F280"/>
    <mergeCell ref="G279:J280"/>
    <mergeCell ref="A262:N262"/>
    <mergeCell ref="A263:N263"/>
    <mergeCell ref="A264:N264"/>
    <mergeCell ref="A265:A266"/>
    <mergeCell ref="B265:B266"/>
    <mergeCell ref="C265:N265"/>
    <mergeCell ref="A268:N268"/>
    <mergeCell ref="A269:A270"/>
    <mergeCell ref="B269:B270"/>
    <mergeCell ref="C269:N269"/>
    <mergeCell ref="A256:N256"/>
    <mergeCell ref="A257:N257"/>
    <mergeCell ref="A258:A259"/>
    <mergeCell ref="B258:B259"/>
    <mergeCell ref="C258:F259"/>
    <mergeCell ref="G258:J259"/>
    <mergeCell ref="C260:F260"/>
    <mergeCell ref="G260:J260"/>
    <mergeCell ref="A261:N261"/>
    <mergeCell ref="A247:N247"/>
    <mergeCell ref="A248:A249"/>
    <mergeCell ref="B248:B249"/>
    <mergeCell ref="C248:N248"/>
    <mergeCell ref="A251:N251"/>
    <mergeCell ref="A252:N252"/>
    <mergeCell ref="A253:A254"/>
    <mergeCell ref="B253:B254"/>
    <mergeCell ref="C253:C254"/>
    <mergeCell ref="D253:D254"/>
    <mergeCell ref="E253:H253"/>
    <mergeCell ref="C239:F239"/>
    <mergeCell ref="G239:J239"/>
    <mergeCell ref="A240:N240"/>
    <mergeCell ref="A241:N241"/>
    <mergeCell ref="A242:N242"/>
    <mergeCell ref="A243:N243"/>
    <mergeCell ref="A244:A245"/>
    <mergeCell ref="B244:B245"/>
    <mergeCell ref="C244:N244"/>
    <mergeCell ref="A231:N231"/>
    <mergeCell ref="A232:A233"/>
    <mergeCell ref="B232:B233"/>
    <mergeCell ref="C232:C233"/>
    <mergeCell ref="D232:D233"/>
    <mergeCell ref="E232:H232"/>
    <mergeCell ref="A235:N235"/>
    <mergeCell ref="A236:N236"/>
    <mergeCell ref="A237:A238"/>
    <mergeCell ref="B237:B238"/>
    <mergeCell ref="C237:F238"/>
    <mergeCell ref="G237:J238"/>
    <mergeCell ref="A222:N222"/>
    <mergeCell ref="A223:A224"/>
    <mergeCell ref="B223:B224"/>
    <mergeCell ref="C223:N223"/>
    <mergeCell ref="A226:N226"/>
    <mergeCell ref="A227:A228"/>
    <mergeCell ref="B227:B228"/>
    <mergeCell ref="C227:N227"/>
    <mergeCell ref="A230:N230"/>
    <mergeCell ref="A216:A217"/>
    <mergeCell ref="B216:B217"/>
    <mergeCell ref="C216:F217"/>
    <mergeCell ref="G216:J217"/>
    <mergeCell ref="C218:F218"/>
    <mergeCell ref="G218:J218"/>
    <mergeCell ref="A219:N219"/>
    <mergeCell ref="A220:N220"/>
    <mergeCell ref="A221:N221"/>
    <mergeCell ref="A209:N209"/>
    <mergeCell ref="A210:N210"/>
    <mergeCell ref="A211:A212"/>
    <mergeCell ref="B211:B212"/>
    <mergeCell ref="C211:C212"/>
    <mergeCell ref="D211:D212"/>
    <mergeCell ref="E211:H211"/>
    <mergeCell ref="A214:N214"/>
    <mergeCell ref="A215:N215"/>
    <mergeCell ref="A199:N199"/>
    <mergeCell ref="A200:N200"/>
    <mergeCell ref="A201:N201"/>
    <mergeCell ref="A202:A203"/>
    <mergeCell ref="B202:B203"/>
    <mergeCell ref="C202:N202"/>
    <mergeCell ref="A205:N205"/>
    <mergeCell ref="A206:A207"/>
    <mergeCell ref="B206:B207"/>
    <mergeCell ref="C206:N206"/>
    <mergeCell ref="A193:N193"/>
    <mergeCell ref="A194:N194"/>
    <mergeCell ref="A195:A196"/>
    <mergeCell ref="B195:B196"/>
    <mergeCell ref="C195:F196"/>
    <mergeCell ref="G195:J196"/>
    <mergeCell ref="C197:F197"/>
    <mergeCell ref="G197:J197"/>
    <mergeCell ref="A198:N198"/>
    <mergeCell ref="A184:N184"/>
    <mergeCell ref="A185:A186"/>
    <mergeCell ref="B185:B186"/>
    <mergeCell ref="C185:N185"/>
    <mergeCell ref="A188:N188"/>
    <mergeCell ref="A189:N189"/>
    <mergeCell ref="A190:A191"/>
    <mergeCell ref="B190:B191"/>
    <mergeCell ref="C190:C191"/>
    <mergeCell ref="D190:D191"/>
    <mergeCell ref="E190:H190"/>
    <mergeCell ref="C176:F176"/>
    <mergeCell ref="G176:J176"/>
    <mergeCell ref="A177:N177"/>
    <mergeCell ref="A178:N178"/>
    <mergeCell ref="A179:N179"/>
    <mergeCell ref="A180:N180"/>
    <mergeCell ref="A181:A182"/>
    <mergeCell ref="B181:B182"/>
    <mergeCell ref="C181:N181"/>
    <mergeCell ref="A168:N168"/>
    <mergeCell ref="A169:A170"/>
    <mergeCell ref="B169:B170"/>
    <mergeCell ref="C169:C170"/>
    <mergeCell ref="D169:D170"/>
    <mergeCell ref="E169:H169"/>
    <mergeCell ref="A172:N172"/>
    <mergeCell ref="A173:N173"/>
    <mergeCell ref="A174:A175"/>
    <mergeCell ref="B174:B175"/>
    <mergeCell ref="C174:F175"/>
    <mergeCell ref="G174:J175"/>
    <mergeCell ref="A159:N159"/>
    <mergeCell ref="A160:A161"/>
    <mergeCell ref="B160:B161"/>
    <mergeCell ref="C160:N160"/>
    <mergeCell ref="A163:N163"/>
    <mergeCell ref="A164:A165"/>
    <mergeCell ref="B164:B165"/>
    <mergeCell ref="C164:N164"/>
    <mergeCell ref="A167:N167"/>
    <mergeCell ref="A153:A154"/>
    <mergeCell ref="B153:B154"/>
    <mergeCell ref="C153:F154"/>
    <mergeCell ref="G153:J154"/>
    <mergeCell ref="C155:F155"/>
    <mergeCell ref="G155:J155"/>
    <mergeCell ref="A156:N156"/>
    <mergeCell ref="A157:N157"/>
    <mergeCell ref="A158:N158"/>
    <mergeCell ref="A146:N146"/>
    <mergeCell ref="A147:N147"/>
    <mergeCell ref="A148:A149"/>
    <mergeCell ref="B148:B149"/>
    <mergeCell ref="C148:C149"/>
    <mergeCell ref="D148:D149"/>
    <mergeCell ref="E148:H148"/>
    <mergeCell ref="A151:N151"/>
    <mergeCell ref="A152:N152"/>
    <mergeCell ref="A134:N134"/>
    <mergeCell ref="A135:N135"/>
    <mergeCell ref="A136:N136"/>
    <mergeCell ref="A137:A138"/>
    <mergeCell ref="B137:B138"/>
    <mergeCell ref="C137:N137"/>
    <mergeCell ref="A142:N142"/>
    <mergeCell ref="A143:A144"/>
    <mergeCell ref="B143:B144"/>
    <mergeCell ref="C143:N143"/>
    <mergeCell ref="A8:N8"/>
    <mergeCell ref="A9:A10"/>
    <mergeCell ref="B9:B10"/>
    <mergeCell ref="C9:N9"/>
    <mergeCell ref="A12:N12"/>
    <mergeCell ref="A13:N13"/>
    <mergeCell ref="A1:N1"/>
    <mergeCell ref="A2:N2"/>
    <mergeCell ref="A3:N3"/>
    <mergeCell ref="A4:N4"/>
    <mergeCell ref="A5:A6"/>
    <mergeCell ref="B5:B6"/>
    <mergeCell ref="C5:N5"/>
    <mergeCell ref="A18:N18"/>
    <mergeCell ref="A19:A20"/>
    <mergeCell ref="B19:B20"/>
    <mergeCell ref="C19:F20"/>
    <mergeCell ref="G19:J20"/>
    <mergeCell ref="C21:F21"/>
    <mergeCell ref="G21:J21"/>
    <mergeCell ref="A14:A15"/>
    <mergeCell ref="B14:B15"/>
    <mergeCell ref="C14:C15"/>
    <mergeCell ref="D14:D15"/>
    <mergeCell ref="E14:H14"/>
    <mergeCell ref="A17:N17"/>
    <mergeCell ref="A29:N29"/>
    <mergeCell ref="A30:A31"/>
    <mergeCell ref="B30:B31"/>
    <mergeCell ref="C30:N30"/>
    <mergeCell ref="A33:N33"/>
    <mergeCell ref="A34:N34"/>
    <mergeCell ref="A22:N22"/>
    <mergeCell ref="A23:N23"/>
    <mergeCell ref="A24:N24"/>
    <mergeCell ref="A25:N25"/>
    <mergeCell ref="A26:A27"/>
    <mergeCell ref="B26:B27"/>
    <mergeCell ref="C26:N26"/>
    <mergeCell ref="A39:N39"/>
    <mergeCell ref="A40:A41"/>
    <mergeCell ref="B40:B41"/>
    <mergeCell ref="C40:F41"/>
    <mergeCell ref="G40:J41"/>
    <mergeCell ref="C42:F42"/>
    <mergeCell ref="G42:J42"/>
    <mergeCell ref="A35:A36"/>
    <mergeCell ref="B35:B36"/>
    <mergeCell ref="C35:C36"/>
    <mergeCell ref="D35:D36"/>
    <mergeCell ref="E35:H35"/>
    <mergeCell ref="A38:N38"/>
    <mergeCell ref="A52:N52"/>
    <mergeCell ref="A53:A54"/>
    <mergeCell ref="B53:B54"/>
    <mergeCell ref="C53:N53"/>
    <mergeCell ref="A56:N56"/>
    <mergeCell ref="A57:N57"/>
    <mergeCell ref="A43:N43"/>
    <mergeCell ref="A44:N44"/>
    <mergeCell ref="A45:N45"/>
    <mergeCell ref="A46:N46"/>
    <mergeCell ref="A47:A48"/>
    <mergeCell ref="B47:B48"/>
    <mergeCell ref="C47:N47"/>
    <mergeCell ref="A62:N62"/>
    <mergeCell ref="A63:A64"/>
    <mergeCell ref="B63:B64"/>
    <mergeCell ref="C63:F64"/>
    <mergeCell ref="G63:J64"/>
    <mergeCell ref="C65:F65"/>
    <mergeCell ref="G65:J65"/>
    <mergeCell ref="A58:A59"/>
    <mergeCell ref="B58:B59"/>
    <mergeCell ref="C58:C59"/>
    <mergeCell ref="D58:D59"/>
    <mergeCell ref="E58:H58"/>
    <mergeCell ref="A61:N61"/>
    <mergeCell ref="A76:N76"/>
    <mergeCell ref="A77:A78"/>
    <mergeCell ref="B77:B78"/>
    <mergeCell ref="C77:N77"/>
    <mergeCell ref="A80:N80"/>
    <mergeCell ref="A81:N81"/>
    <mergeCell ref="A66:N66"/>
    <mergeCell ref="A67:N67"/>
    <mergeCell ref="A68:N68"/>
    <mergeCell ref="A69:N69"/>
    <mergeCell ref="A70:A71"/>
    <mergeCell ref="B70:B71"/>
    <mergeCell ref="C70:N70"/>
    <mergeCell ref="A86:N86"/>
    <mergeCell ref="A87:A88"/>
    <mergeCell ref="B87:B88"/>
    <mergeCell ref="C87:F88"/>
    <mergeCell ref="G87:J88"/>
    <mergeCell ref="C89:F89"/>
    <mergeCell ref="G89:J89"/>
    <mergeCell ref="A82:A83"/>
    <mergeCell ref="B82:B83"/>
    <mergeCell ref="C82:C83"/>
    <mergeCell ref="D82:D83"/>
    <mergeCell ref="E82:H82"/>
    <mergeCell ref="A85:N85"/>
    <mergeCell ref="A97:N97"/>
    <mergeCell ref="A98:A99"/>
    <mergeCell ref="B98:B99"/>
    <mergeCell ref="C98:N98"/>
    <mergeCell ref="A101:N101"/>
    <mergeCell ref="A102:N102"/>
    <mergeCell ref="A90:N90"/>
    <mergeCell ref="A91:N91"/>
    <mergeCell ref="A92:N92"/>
    <mergeCell ref="A93:N93"/>
    <mergeCell ref="A94:A95"/>
    <mergeCell ref="B94:B95"/>
    <mergeCell ref="C94:N94"/>
    <mergeCell ref="A107:N107"/>
    <mergeCell ref="A108:A109"/>
    <mergeCell ref="B108:B109"/>
    <mergeCell ref="C108:F109"/>
    <mergeCell ref="G108:J109"/>
    <mergeCell ref="C110:F110"/>
    <mergeCell ref="G110:J110"/>
    <mergeCell ref="A103:A104"/>
    <mergeCell ref="B103:B104"/>
    <mergeCell ref="C103:C104"/>
    <mergeCell ref="D103:D104"/>
    <mergeCell ref="E103:H103"/>
    <mergeCell ref="A106:N106"/>
    <mergeCell ref="A119:N119"/>
    <mergeCell ref="A120:A121"/>
    <mergeCell ref="B120:B121"/>
    <mergeCell ref="C120:N120"/>
    <mergeCell ref="A123:N123"/>
    <mergeCell ref="A124:N124"/>
    <mergeCell ref="A111:N111"/>
    <mergeCell ref="A112:N112"/>
    <mergeCell ref="A113:N113"/>
    <mergeCell ref="A114:N114"/>
    <mergeCell ref="A115:A116"/>
    <mergeCell ref="B115:B116"/>
    <mergeCell ref="C115:N115"/>
    <mergeCell ref="A129:N129"/>
    <mergeCell ref="A130:A131"/>
    <mergeCell ref="B130:B131"/>
    <mergeCell ref="C130:F131"/>
    <mergeCell ref="G130:J131"/>
    <mergeCell ref="C132:F132"/>
    <mergeCell ref="G132:J132"/>
    <mergeCell ref="A125:A126"/>
    <mergeCell ref="B125:B126"/>
    <mergeCell ref="C125:C126"/>
    <mergeCell ref="D125:D126"/>
    <mergeCell ref="E125:H125"/>
    <mergeCell ref="A128:N1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N455"/>
  <sheetViews>
    <sheetView topLeftCell="A380" zoomScale="85" zoomScaleNormal="85" workbookViewId="0">
      <selection activeCell="R406" sqref="R406"/>
    </sheetView>
  </sheetViews>
  <sheetFormatPr defaultRowHeight="15" x14ac:dyDescent="0.25"/>
  <cols>
    <col min="1" max="1" width="9.140625" customWidth="1"/>
    <col min="2" max="2" width="27.42578125" customWidth="1"/>
  </cols>
  <sheetData>
    <row r="1" spans="1:14" ht="15.75" thickTop="1" x14ac:dyDescent="0.25">
      <c r="A1" s="197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9"/>
    </row>
    <row r="2" spans="1:14" ht="18.75" x14ac:dyDescent="0.25">
      <c r="A2" s="168" t="s">
        <v>408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70"/>
    </row>
    <row r="3" spans="1:14" x14ac:dyDescent="0.25">
      <c r="A3" s="171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72"/>
    </row>
    <row r="4" spans="1:14" ht="18.75" x14ac:dyDescent="0.25">
      <c r="A4" s="173" t="s">
        <v>291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74"/>
    </row>
    <row r="5" spans="1:14" x14ac:dyDescent="0.25">
      <c r="A5" s="175" t="s">
        <v>292</v>
      </c>
      <c r="B5" s="150" t="s">
        <v>293</v>
      </c>
      <c r="C5" s="157" t="s">
        <v>294</v>
      </c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76"/>
    </row>
    <row r="6" spans="1:14" x14ac:dyDescent="0.25">
      <c r="A6" s="175"/>
      <c r="B6" s="150"/>
      <c r="C6" s="30" t="s">
        <v>295</v>
      </c>
      <c r="D6" s="30" t="s">
        <v>296</v>
      </c>
      <c r="E6" s="30" t="s">
        <v>297</v>
      </c>
      <c r="F6" s="30" t="s">
        <v>298</v>
      </c>
      <c r="G6" s="30" t="s">
        <v>299</v>
      </c>
      <c r="H6" s="30" t="s">
        <v>300</v>
      </c>
      <c r="I6" s="30" t="s">
        <v>301</v>
      </c>
      <c r="J6" s="30" t="s">
        <v>302</v>
      </c>
      <c r="K6" s="30" t="s">
        <v>303</v>
      </c>
      <c r="L6" s="30" t="s">
        <v>304</v>
      </c>
      <c r="M6" s="30" t="s">
        <v>305</v>
      </c>
      <c r="N6" s="42" t="s">
        <v>306</v>
      </c>
    </row>
    <row r="7" spans="1:14" x14ac:dyDescent="0.25">
      <c r="A7" s="38">
        <v>74</v>
      </c>
      <c r="B7" s="5" t="s">
        <v>409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43"/>
    </row>
    <row r="8" spans="1:14" x14ac:dyDescent="0.25">
      <c r="A8" s="171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72"/>
    </row>
    <row r="9" spans="1:14" x14ac:dyDescent="0.25">
      <c r="A9" s="175" t="s">
        <v>292</v>
      </c>
      <c r="B9" s="150" t="s">
        <v>293</v>
      </c>
      <c r="C9" s="157" t="s">
        <v>308</v>
      </c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76"/>
    </row>
    <row r="10" spans="1:14" x14ac:dyDescent="0.25">
      <c r="A10" s="175"/>
      <c r="B10" s="150"/>
      <c r="C10" s="30" t="s">
        <v>295</v>
      </c>
      <c r="D10" s="30" t="s">
        <v>296</v>
      </c>
      <c r="E10" s="30" t="s">
        <v>297</v>
      </c>
      <c r="F10" s="30" t="s">
        <v>298</v>
      </c>
      <c r="G10" s="30" t="s">
        <v>299</v>
      </c>
      <c r="H10" s="30" t="s">
        <v>300</v>
      </c>
      <c r="I10" s="30" t="s">
        <v>301</v>
      </c>
      <c r="J10" s="30" t="s">
        <v>302</v>
      </c>
      <c r="K10" s="30" t="s">
        <v>303</v>
      </c>
      <c r="L10" s="30" t="s">
        <v>304</v>
      </c>
      <c r="M10" s="30" t="s">
        <v>305</v>
      </c>
      <c r="N10" s="42" t="s">
        <v>306</v>
      </c>
    </row>
    <row r="11" spans="1:14" x14ac:dyDescent="0.25">
      <c r="A11" s="38">
        <v>74</v>
      </c>
      <c r="B11" s="5" t="s">
        <v>409</v>
      </c>
      <c r="C11" s="29">
        <v>5.16</v>
      </c>
      <c r="D11" s="29">
        <v>4.71</v>
      </c>
      <c r="E11" s="29">
        <v>4.1900000000000004</v>
      </c>
      <c r="F11" s="29">
        <v>3.13</v>
      </c>
      <c r="G11" s="29">
        <v>2.13</v>
      </c>
      <c r="H11" s="29">
        <v>1.8</v>
      </c>
      <c r="I11" s="29">
        <v>1.97</v>
      </c>
      <c r="J11" s="29">
        <v>2.58</v>
      </c>
      <c r="K11" s="29">
        <v>3.17</v>
      </c>
      <c r="L11" s="29">
        <v>4.26</v>
      </c>
      <c r="M11" s="29">
        <v>5.0999999999999996</v>
      </c>
      <c r="N11" s="44">
        <v>5.29</v>
      </c>
    </row>
    <row r="12" spans="1:14" x14ac:dyDescent="0.25">
      <c r="A12" s="171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72"/>
    </row>
    <row r="13" spans="1:14" ht="18.75" x14ac:dyDescent="0.25">
      <c r="A13" s="173" t="s">
        <v>309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74"/>
    </row>
    <row r="14" spans="1:14" x14ac:dyDescent="0.25">
      <c r="A14" s="175" t="s">
        <v>292</v>
      </c>
      <c r="B14" s="150" t="s">
        <v>293</v>
      </c>
      <c r="C14" s="150" t="s">
        <v>1</v>
      </c>
      <c r="D14" s="150" t="s">
        <v>2</v>
      </c>
      <c r="E14" s="150" t="s">
        <v>310</v>
      </c>
      <c r="F14" s="150"/>
      <c r="G14" s="150"/>
      <c r="H14" s="150"/>
      <c r="I14" s="30"/>
      <c r="J14" s="30"/>
      <c r="K14" s="30"/>
      <c r="L14" s="30"/>
      <c r="M14" s="30"/>
      <c r="N14" s="42"/>
    </row>
    <row r="15" spans="1:14" x14ac:dyDescent="0.25">
      <c r="A15" s="175"/>
      <c r="B15" s="150"/>
      <c r="C15" s="150"/>
      <c r="D15" s="150"/>
      <c r="E15" s="30" t="s">
        <v>292</v>
      </c>
      <c r="F15" s="30" t="s">
        <v>293</v>
      </c>
      <c r="G15" s="30" t="s">
        <v>1</v>
      </c>
      <c r="H15" s="30" t="s">
        <v>2</v>
      </c>
      <c r="I15" s="30"/>
      <c r="J15" s="30"/>
      <c r="K15" s="30"/>
      <c r="L15" s="30"/>
      <c r="M15" s="30"/>
      <c r="N15" s="42"/>
    </row>
    <row r="16" spans="1:14" x14ac:dyDescent="0.25">
      <c r="A16" s="15" t="s">
        <v>29</v>
      </c>
      <c r="B16" s="5" t="s">
        <v>30</v>
      </c>
      <c r="C16" s="29">
        <v>-26</v>
      </c>
      <c r="D16" s="35">
        <v>-51.65</v>
      </c>
      <c r="E16" s="35"/>
      <c r="F16" s="26"/>
      <c r="G16" s="35"/>
      <c r="H16" s="35"/>
      <c r="I16" s="35"/>
      <c r="J16" s="35"/>
      <c r="K16" s="35"/>
      <c r="L16" s="35"/>
      <c r="M16" s="35"/>
      <c r="N16" s="46"/>
    </row>
    <row r="17" spans="1:14" x14ac:dyDescent="0.25">
      <c r="A17" s="171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72"/>
    </row>
    <row r="18" spans="1:14" ht="18.75" x14ac:dyDescent="0.25">
      <c r="A18" s="173" t="s">
        <v>311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74"/>
    </row>
    <row r="19" spans="1:14" x14ac:dyDescent="0.25">
      <c r="A19" s="175" t="s">
        <v>292</v>
      </c>
      <c r="B19" s="150" t="s">
        <v>293</v>
      </c>
      <c r="C19" s="151" t="s">
        <v>312</v>
      </c>
      <c r="D19" s="152"/>
      <c r="E19" s="152"/>
      <c r="F19" s="153"/>
      <c r="G19" s="151" t="s">
        <v>313</v>
      </c>
      <c r="H19" s="152"/>
      <c r="I19" s="152"/>
      <c r="J19" s="153"/>
      <c r="K19" s="30"/>
      <c r="L19" s="30"/>
      <c r="M19" s="30"/>
      <c r="N19" s="42"/>
    </row>
    <row r="20" spans="1:14" x14ac:dyDescent="0.25">
      <c r="A20" s="175"/>
      <c r="B20" s="150"/>
      <c r="C20" s="154"/>
      <c r="D20" s="155"/>
      <c r="E20" s="155"/>
      <c r="F20" s="156"/>
      <c r="G20" s="154"/>
      <c r="H20" s="155"/>
      <c r="I20" s="155"/>
      <c r="J20" s="156"/>
      <c r="K20" s="30"/>
      <c r="L20" s="30"/>
      <c r="M20" s="30"/>
      <c r="N20" s="42"/>
    </row>
    <row r="21" spans="1:14" ht="15.75" thickBot="1" x14ac:dyDescent="0.3">
      <c r="A21" s="49">
        <v>65774403</v>
      </c>
      <c r="B21" s="50" t="s">
        <v>410</v>
      </c>
      <c r="C21" s="177" t="s">
        <v>409</v>
      </c>
      <c r="D21" s="177"/>
      <c r="E21" s="177"/>
      <c r="F21" s="177"/>
      <c r="G21" s="177">
        <v>17.399999999999999</v>
      </c>
      <c r="H21" s="177"/>
      <c r="I21" s="177"/>
      <c r="J21" s="177"/>
      <c r="K21" s="51"/>
      <c r="L21" s="51"/>
      <c r="M21" s="51"/>
      <c r="N21" s="52"/>
    </row>
    <row r="22" spans="1:14" ht="16.5" thickTop="1" thickBot="1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</row>
    <row r="23" spans="1:14" ht="19.5" thickTop="1" x14ac:dyDescent="0.25">
      <c r="A23" s="178" t="s">
        <v>411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80"/>
    </row>
    <row r="24" spans="1:14" x14ac:dyDescent="0.25">
      <c r="A24" s="171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72"/>
    </row>
    <row r="25" spans="1:14" ht="18.75" x14ac:dyDescent="0.25">
      <c r="A25" s="173" t="s">
        <v>291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74"/>
    </row>
    <row r="26" spans="1:14" x14ac:dyDescent="0.25">
      <c r="A26" s="175" t="s">
        <v>292</v>
      </c>
      <c r="B26" s="150" t="s">
        <v>293</v>
      </c>
      <c r="C26" s="157" t="s">
        <v>294</v>
      </c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76"/>
    </row>
    <row r="27" spans="1:14" x14ac:dyDescent="0.25">
      <c r="A27" s="175"/>
      <c r="B27" s="150"/>
      <c r="C27" s="30" t="s">
        <v>295</v>
      </c>
      <c r="D27" s="30" t="s">
        <v>296</v>
      </c>
      <c r="E27" s="30" t="s">
        <v>297</v>
      </c>
      <c r="F27" s="30" t="s">
        <v>298</v>
      </c>
      <c r="G27" s="30" t="s">
        <v>299</v>
      </c>
      <c r="H27" s="30" t="s">
        <v>300</v>
      </c>
      <c r="I27" s="30" t="s">
        <v>301</v>
      </c>
      <c r="J27" s="30" t="s">
        <v>302</v>
      </c>
      <c r="K27" s="30" t="s">
        <v>303</v>
      </c>
      <c r="L27" s="30" t="s">
        <v>304</v>
      </c>
      <c r="M27" s="30" t="s">
        <v>305</v>
      </c>
      <c r="N27" s="42" t="s">
        <v>306</v>
      </c>
    </row>
    <row r="28" spans="1:14" x14ac:dyDescent="0.25">
      <c r="A28" s="38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43"/>
    </row>
    <row r="29" spans="1:14" x14ac:dyDescent="0.25">
      <c r="A29" s="171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72"/>
    </row>
    <row r="30" spans="1:14" x14ac:dyDescent="0.25">
      <c r="A30" s="175" t="s">
        <v>292</v>
      </c>
      <c r="B30" s="150" t="s">
        <v>293</v>
      </c>
      <c r="C30" s="157" t="s">
        <v>308</v>
      </c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76"/>
    </row>
    <row r="31" spans="1:14" x14ac:dyDescent="0.25">
      <c r="A31" s="175"/>
      <c r="B31" s="150"/>
      <c r="C31" s="30" t="s">
        <v>295</v>
      </c>
      <c r="D31" s="30" t="s">
        <v>296</v>
      </c>
      <c r="E31" s="30" t="s">
        <v>297</v>
      </c>
      <c r="F31" s="30" t="s">
        <v>298</v>
      </c>
      <c r="G31" s="30" t="s">
        <v>299</v>
      </c>
      <c r="H31" s="30" t="s">
        <v>300</v>
      </c>
      <c r="I31" s="30" t="s">
        <v>301</v>
      </c>
      <c r="J31" s="30" t="s">
        <v>302</v>
      </c>
      <c r="K31" s="30" t="s">
        <v>303</v>
      </c>
      <c r="L31" s="30" t="s">
        <v>304</v>
      </c>
      <c r="M31" s="30" t="s">
        <v>305</v>
      </c>
      <c r="N31" s="42" t="s">
        <v>306</v>
      </c>
    </row>
    <row r="32" spans="1:14" x14ac:dyDescent="0.25">
      <c r="A32" s="38">
        <v>65310001</v>
      </c>
      <c r="B32" s="5" t="s">
        <v>412</v>
      </c>
      <c r="C32" s="29">
        <v>5.16</v>
      </c>
      <c r="D32" s="29">
        <v>4.71</v>
      </c>
      <c r="E32" s="29">
        <v>4.1900000000000004</v>
      </c>
      <c r="F32" s="29">
        <v>3.13</v>
      </c>
      <c r="G32" s="29">
        <v>2.13</v>
      </c>
      <c r="H32" s="29">
        <v>1.8</v>
      </c>
      <c r="I32" s="29">
        <v>1.97</v>
      </c>
      <c r="J32" s="29">
        <v>2.58</v>
      </c>
      <c r="K32" s="29">
        <v>3.17</v>
      </c>
      <c r="L32" s="29">
        <v>4.26</v>
      </c>
      <c r="M32" s="29">
        <v>5.0999999999999996</v>
      </c>
      <c r="N32" s="44">
        <v>5.29</v>
      </c>
    </row>
    <row r="33" spans="1:14" x14ac:dyDescent="0.25">
      <c r="A33" s="171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72"/>
    </row>
    <row r="34" spans="1:14" ht="18.75" x14ac:dyDescent="0.25">
      <c r="A34" s="173" t="s">
        <v>309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74"/>
    </row>
    <row r="35" spans="1:14" x14ac:dyDescent="0.25">
      <c r="A35" s="175" t="s">
        <v>292</v>
      </c>
      <c r="B35" s="150" t="s">
        <v>293</v>
      </c>
      <c r="C35" s="150" t="s">
        <v>1</v>
      </c>
      <c r="D35" s="150" t="s">
        <v>2</v>
      </c>
      <c r="E35" s="150" t="s">
        <v>310</v>
      </c>
      <c r="F35" s="150"/>
      <c r="G35" s="150"/>
      <c r="H35" s="150"/>
      <c r="I35" s="30"/>
      <c r="J35" s="30"/>
      <c r="K35" s="30"/>
      <c r="L35" s="30"/>
      <c r="M35" s="30"/>
      <c r="N35" s="42"/>
    </row>
    <row r="36" spans="1:14" x14ac:dyDescent="0.25">
      <c r="A36" s="175"/>
      <c r="B36" s="150"/>
      <c r="C36" s="150"/>
      <c r="D36" s="150"/>
      <c r="E36" s="30" t="s">
        <v>292</v>
      </c>
      <c r="F36" s="30" t="s">
        <v>293</v>
      </c>
      <c r="G36" s="30" t="s">
        <v>1</v>
      </c>
      <c r="H36" s="30" t="s">
        <v>2</v>
      </c>
      <c r="I36" s="30"/>
      <c r="J36" s="30"/>
      <c r="K36" s="30"/>
      <c r="L36" s="30"/>
      <c r="M36" s="30"/>
      <c r="N36" s="42"/>
    </row>
    <row r="37" spans="1:14" x14ac:dyDescent="0.25">
      <c r="A37" s="15" t="s">
        <v>37</v>
      </c>
      <c r="B37" s="5" t="s">
        <v>38</v>
      </c>
      <c r="C37" s="29">
        <v>-26.23</v>
      </c>
      <c r="D37" s="35">
        <v>-51.08</v>
      </c>
      <c r="E37" s="35"/>
      <c r="F37" s="26"/>
      <c r="G37" s="35"/>
      <c r="H37" s="35"/>
      <c r="I37" s="35"/>
      <c r="J37" s="35"/>
      <c r="K37" s="35"/>
      <c r="L37" s="35"/>
      <c r="M37" s="35"/>
      <c r="N37" s="46"/>
    </row>
    <row r="38" spans="1:14" x14ac:dyDescent="0.25">
      <c r="A38" s="171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72"/>
    </row>
    <row r="39" spans="1:14" ht="18.75" x14ac:dyDescent="0.25">
      <c r="A39" s="173" t="s">
        <v>311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74"/>
    </row>
    <row r="40" spans="1:14" x14ac:dyDescent="0.25">
      <c r="A40" s="175" t="s">
        <v>292</v>
      </c>
      <c r="B40" s="150" t="s">
        <v>293</v>
      </c>
      <c r="C40" s="151" t="s">
        <v>312</v>
      </c>
      <c r="D40" s="152"/>
      <c r="E40" s="152"/>
      <c r="F40" s="153"/>
      <c r="G40" s="151" t="s">
        <v>313</v>
      </c>
      <c r="H40" s="152"/>
      <c r="I40" s="152"/>
      <c r="J40" s="153"/>
      <c r="K40" s="30"/>
      <c r="L40" s="30"/>
      <c r="M40" s="30"/>
      <c r="N40" s="42"/>
    </row>
    <row r="41" spans="1:14" x14ac:dyDescent="0.25">
      <c r="A41" s="175"/>
      <c r="B41" s="150"/>
      <c r="C41" s="154"/>
      <c r="D41" s="155"/>
      <c r="E41" s="155"/>
      <c r="F41" s="156"/>
      <c r="G41" s="154"/>
      <c r="H41" s="155"/>
      <c r="I41" s="155"/>
      <c r="J41" s="156"/>
      <c r="K41" s="30"/>
      <c r="L41" s="30"/>
      <c r="M41" s="30"/>
      <c r="N41" s="42"/>
    </row>
    <row r="42" spans="1:14" ht="15.75" thickBot="1" x14ac:dyDescent="0.3">
      <c r="A42" s="49"/>
      <c r="B42" s="50"/>
      <c r="C42" s="177"/>
      <c r="D42" s="177"/>
      <c r="E42" s="177"/>
      <c r="F42" s="177"/>
      <c r="G42" s="177"/>
      <c r="H42" s="177"/>
      <c r="I42" s="177"/>
      <c r="J42" s="177"/>
      <c r="K42" s="51"/>
      <c r="L42" s="51"/>
      <c r="M42" s="51"/>
      <c r="N42" s="52"/>
    </row>
    <row r="43" spans="1:14" ht="16.5" thickTop="1" thickBot="1" x14ac:dyDescent="0.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</row>
    <row r="44" spans="1:14" ht="19.5" thickTop="1" x14ac:dyDescent="0.25">
      <c r="A44" s="178" t="s">
        <v>413</v>
      </c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80"/>
    </row>
    <row r="45" spans="1:14" x14ac:dyDescent="0.25">
      <c r="A45" s="171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72"/>
    </row>
    <row r="46" spans="1:14" ht="18.75" x14ac:dyDescent="0.25">
      <c r="A46" s="173" t="s">
        <v>291</v>
      </c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74"/>
    </row>
    <row r="47" spans="1:14" x14ac:dyDescent="0.25">
      <c r="A47" s="175" t="s">
        <v>292</v>
      </c>
      <c r="B47" s="150" t="s">
        <v>293</v>
      </c>
      <c r="C47" s="157" t="s">
        <v>294</v>
      </c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76"/>
    </row>
    <row r="48" spans="1:14" x14ac:dyDescent="0.25">
      <c r="A48" s="175"/>
      <c r="B48" s="150"/>
      <c r="C48" s="30" t="s">
        <v>295</v>
      </c>
      <c r="D48" s="30" t="s">
        <v>296</v>
      </c>
      <c r="E48" s="30" t="s">
        <v>297</v>
      </c>
      <c r="F48" s="30" t="s">
        <v>298</v>
      </c>
      <c r="G48" s="30" t="s">
        <v>299</v>
      </c>
      <c r="H48" s="30" t="s">
        <v>300</v>
      </c>
      <c r="I48" s="30" t="s">
        <v>301</v>
      </c>
      <c r="J48" s="30" t="s">
        <v>302</v>
      </c>
      <c r="K48" s="30" t="s">
        <v>303</v>
      </c>
      <c r="L48" s="30" t="s">
        <v>304</v>
      </c>
      <c r="M48" s="30" t="s">
        <v>305</v>
      </c>
      <c r="N48" s="42" t="s">
        <v>306</v>
      </c>
    </row>
    <row r="49" spans="1:14" x14ac:dyDescent="0.25">
      <c r="A49" s="39">
        <v>71</v>
      </c>
      <c r="B49" s="5" t="s">
        <v>414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43"/>
    </row>
    <row r="50" spans="1:14" x14ac:dyDescent="0.25">
      <c r="A50" s="171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72"/>
    </row>
    <row r="51" spans="1:14" x14ac:dyDescent="0.25">
      <c r="A51" s="175" t="s">
        <v>292</v>
      </c>
      <c r="B51" s="150" t="s">
        <v>293</v>
      </c>
      <c r="C51" s="157" t="s">
        <v>308</v>
      </c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76"/>
    </row>
    <row r="52" spans="1:14" x14ac:dyDescent="0.25">
      <c r="A52" s="175"/>
      <c r="B52" s="150"/>
      <c r="C52" s="30" t="s">
        <v>295</v>
      </c>
      <c r="D52" s="30" t="s">
        <v>296</v>
      </c>
      <c r="E52" s="30" t="s">
        <v>297</v>
      </c>
      <c r="F52" s="30" t="s">
        <v>298</v>
      </c>
      <c r="G52" s="30" t="s">
        <v>299</v>
      </c>
      <c r="H52" s="30" t="s">
        <v>300</v>
      </c>
      <c r="I52" s="30" t="s">
        <v>301</v>
      </c>
      <c r="J52" s="30" t="s">
        <v>302</v>
      </c>
      <c r="K52" s="30" t="s">
        <v>303</v>
      </c>
      <c r="L52" s="30" t="s">
        <v>304</v>
      </c>
      <c r="M52" s="30" t="s">
        <v>305</v>
      </c>
      <c r="N52" s="42" t="s">
        <v>306</v>
      </c>
    </row>
    <row r="53" spans="1:14" x14ac:dyDescent="0.25">
      <c r="A53" s="38">
        <v>71</v>
      </c>
      <c r="B53" s="5" t="s">
        <v>414</v>
      </c>
      <c r="C53" s="29">
        <v>4.7699999999999996</v>
      </c>
      <c r="D53" s="29">
        <v>4.43</v>
      </c>
      <c r="E53" s="29">
        <v>3.97</v>
      </c>
      <c r="F53" s="29">
        <v>2.97</v>
      </c>
      <c r="G53" s="29">
        <v>2.16</v>
      </c>
      <c r="H53" s="29">
        <v>1.87</v>
      </c>
      <c r="I53" s="29">
        <v>1.9</v>
      </c>
      <c r="J53" s="29">
        <v>2.5499999999999998</v>
      </c>
      <c r="K53" s="29">
        <v>3.17</v>
      </c>
      <c r="L53" s="29">
        <v>4.0599999999999996</v>
      </c>
      <c r="M53" s="29">
        <v>4.87</v>
      </c>
      <c r="N53" s="44">
        <v>4.97</v>
      </c>
    </row>
    <row r="54" spans="1:14" x14ac:dyDescent="0.25">
      <c r="A54" s="171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72"/>
    </row>
    <row r="55" spans="1:14" ht="18.75" x14ac:dyDescent="0.25">
      <c r="A55" s="173" t="s">
        <v>309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74"/>
    </row>
    <row r="56" spans="1:14" x14ac:dyDescent="0.25">
      <c r="A56" s="175" t="s">
        <v>292</v>
      </c>
      <c r="B56" s="150" t="s">
        <v>293</v>
      </c>
      <c r="C56" s="150" t="s">
        <v>1</v>
      </c>
      <c r="D56" s="150" t="s">
        <v>2</v>
      </c>
      <c r="E56" s="150" t="s">
        <v>310</v>
      </c>
      <c r="F56" s="150"/>
      <c r="G56" s="150"/>
      <c r="H56" s="150"/>
      <c r="I56" s="30"/>
      <c r="J56" s="30"/>
      <c r="K56" s="30"/>
      <c r="L56" s="30"/>
      <c r="M56" s="30"/>
      <c r="N56" s="42"/>
    </row>
    <row r="57" spans="1:14" x14ac:dyDescent="0.25">
      <c r="A57" s="175"/>
      <c r="B57" s="150"/>
      <c r="C57" s="150"/>
      <c r="D57" s="150"/>
      <c r="E57" s="30" t="s">
        <v>292</v>
      </c>
      <c r="F57" s="30" t="s">
        <v>293</v>
      </c>
      <c r="G57" s="30" t="s">
        <v>1</v>
      </c>
      <c r="H57" s="30" t="s">
        <v>2</v>
      </c>
      <c r="I57" s="30"/>
      <c r="J57" s="30"/>
      <c r="K57" s="30"/>
      <c r="L57" s="30"/>
      <c r="M57" s="30"/>
      <c r="N57" s="42"/>
    </row>
    <row r="58" spans="1:14" x14ac:dyDescent="0.25">
      <c r="A58" s="15" t="s">
        <v>35</v>
      </c>
      <c r="B58" s="5" t="s">
        <v>36</v>
      </c>
      <c r="C58" s="29">
        <v>-25.49</v>
      </c>
      <c r="D58" s="35">
        <v>-51.74</v>
      </c>
      <c r="E58" s="35"/>
      <c r="F58" s="26"/>
      <c r="G58" s="35"/>
      <c r="H58" s="35"/>
      <c r="I58" s="35"/>
      <c r="J58" s="35"/>
      <c r="K58" s="35"/>
      <c r="L58" s="35"/>
      <c r="M58" s="35"/>
      <c r="N58" s="46"/>
    </row>
    <row r="59" spans="1:14" x14ac:dyDescent="0.25">
      <c r="A59" s="171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72"/>
    </row>
    <row r="60" spans="1:14" ht="18.75" x14ac:dyDescent="0.25">
      <c r="A60" s="173" t="s">
        <v>311</v>
      </c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74"/>
    </row>
    <row r="61" spans="1:14" x14ac:dyDescent="0.25">
      <c r="A61" s="175" t="s">
        <v>292</v>
      </c>
      <c r="B61" s="150" t="s">
        <v>293</v>
      </c>
      <c r="C61" s="151" t="s">
        <v>312</v>
      </c>
      <c r="D61" s="152"/>
      <c r="E61" s="152"/>
      <c r="F61" s="153"/>
      <c r="G61" s="151" t="s">
        <v>313</v>
      </c>
      <c r="H61" s="152"/>
      <c r="I61" s="152"/>
      <c r="J61" s="153"/>
      <c r="K61" s="30"/>
      <c r="L61" s="30"/>
      <c r="M61" s="30"/>
      <c r="N61" s="42"/>
    </row>
    <row r="62" spans="1:14" x14ac:dyDescent="0.25">
      <c r="A62" s="175"/>
      <c r="B62" s="150"/>
      <c r="C62" s="154"/>
      <c r="D62" s="155"/>
      <c r="E62" s="155"/>
      <c r="F62" s="156"/>
      <c r="G62" s="154"/>
      <c r="H62" s="155"/>
      <c r="I62" s="155"/>
      <c r="J62" s="156"/>
      <c r="K62" s="30"/>
      <c r="L62" s="30"/>
      <c r="M62" s="30"/>
      <c r="N62" s="42"/>
    </row>
    <row r="63" spans="1:14" ht="15.75" thickBot="1" x14ac:dyDescent="0.3">
      <c r="A63" s="49"/>
      <c r="B63" s="50"/>
      <c r="C63" s="177"/>
      <c r="D63" s="177"/>
      <c r="E63" s="177"/>
      <c r="F63" s="177"/>
      <c r="G63" s="177"/>
      <c r="H63" s="177"/>
      <c r="I63" s="177"/>
      <c r="J63" s="177"/>
      <c r="K63" s="51"/>
      <c r="L63" s="51"/>
      <c r="M63" s="51"/>
      <c r="N63" s="52"/>
    </row>
    <row r="64" spans="1:14" ht="16.5" thickTop="1" thickBot="1" x14ac:dyDescent="0.3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</row>
    <row r="65" spans="1:14" ht="19.5" thickTop="1" x14ac:dyDescent="0.25">
      <c r="A65" s="178" t="s">
        <v>415</v>
      </c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80"/>
    </row>
    <row r="66" spans="1:14" x14ac:dyDescent="0.25">
      <c r="A66" s="171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72"/>
    </row>
    <row r="67" spans="1:14" ht="18.75" x14ac:dyDescent="0.25">
      <c r="A67" s="173" t="s">
        <v>291</v>
      </c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74"/>
    </row>
    <row r="68" spans="1:14" x14ac:dyDescent="0.25">
      <c r="A68" s="175" t="s">
        <v>292</v>
      </c>
      <c r="B68" s="150" t="s">
        <v>293</v>
      </c>
      <c r="C68" s="157" t="s">
        <v>294</v>
      </c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76"/>
    </row>
    <row r="69" spans="1:14" x14ac:dyDescent="0.25">
      <c r="A69" s="175"/>
      <c r="B69" s="150"/>
      <c r="C69" s="30" t="s">
        <v>295</v>
      </c>
      <c r="D69" s="30" t="s">
        <v>296</v>
      </c>
      <c r="E69" s="30" t="s">
        <v>297</v>
      </c>
      <c r="F69" s="30" t="s">
        <v>298</v>
      </c>
      <c r="G69" s="30" t="s">
        <v>299</v>
      </c>
      <c r="H69" s="30" t="s">
        <v>300</v>
      </c>
      <c r="I69" s="30" t="s">
        <v>301</v>
      </c>
      <c r="J69" s="30" t="s">
        <v>302</v>
      </c>
      <c r="K69" s="30" t="s">
        <v>303</v>
      </c>
      <c r="L69" s="30" t="s">
        <v>304</v>
      </c>
      <c r="M69" s="30" t="s">
        <v>305</v>
      </c>
      <c r="N69" s="42" t="s">
        <v>306</v>
      </c>
    </row>
    <row r="70" spans="1:14" x14ac:dyDescent="0.25">
      <c r="A70" s="38">
        <v>72</v>
      </c>
      <c r="B70" s="5" t="s">
        <v>416</v>
      </c>
      <c r="C70" s="6">
        <v>3.9E-2</v>
      </c>
      <c r="D70" s="6">
        <v>3.9E-2</v>
      </c>
      <c r="E70" s="6">
        <v>3.9E-2</v>
      </c>
      <c r="F70" s="6">
        <v>3.9E-2</v>
      </c>
      <c r="G70" s="6">
        <v>3.9E-2</v>
      </c>
      <c r="H70" s="6">
        <v>3.9E-2</v>
      </c>
      <c r="I70" s="6">
        <v>3.9E-2</v>
      </c>
      <c r="J70" s="6">
        <v>3.9E-2</v>
      </c>
      <c r="K70" s="6">
        <v>3.9E-2</v>
      </c>
      <c r="L70" s="6">
        <v>3.9E-2</v>
      </c>
      <c r="M70" s="6">
        <v>3.9E-2</v>
      </c>
      <c r="N70" s="46">
        <v>3.9E-2</v>
      </c>
    </row>
    <row r="71" spans="1:14" x14ac:dyDescent="0.25">
      <c r="A71" s="53">
        <v>73</v>
      </c>
      <c r="B71" s="3" t="s">
        <v>417</v>
      </c>
      <c r="C71" s="7">
        <v>0.157</v>
      </c>
      <c r="D71" s="7">
        <v>0.157</v>
      </c>
      <c r="E71" s="7">
        <v>0.157</v>
      </c>
      <c r="F71" s="7">
        <v>0.157</v>
      </c>
      <c r="G71" s="7">
        <v>0.157</v>
      </c>
      <c r="H71" s="7">
        <v>0.157</v>
      </c>
      <c r="I71" s="7">
        <v>0.157</v>
      </c>
      <c r="J71" s="7">
        <v>0.157</v>
      </c>
      <c r="K71" s="7">
        <v>0.157</v>
      </c>
      <c r="L71" s="7">
        <v>0.157</v>
      </c>
      <c r="M71" s="7">
        <v>0.157</v>
      </c>
      <c r="N71" s="45">
        <v>0.157</v>
      </c>
    </row>
    <row r="72" spans="1:14" x14ac:dyDescent="0.25">
      <c r="A72" s="38">
        <v>76</v>
      </c>
      <c r="B72" s="5" t="s">
        <v>418</v>
      </c>
      <c r="C72" s="6">
        <v>0.80400000000000005</v>
      </c>
      <c r="D72" s="6">
        <v>0.80400000000000005</v>
      </c>
      <c r="E72" s="6">
        <v>0.80400000000000005</v>
      </c>
      <c r="F72" s="6">
        <v>0.80400000000000005</v>
      </c>
      <c r="G72" s="6">
        <v>0.80400000000000005</v>
      </c>
      <c r="H72" s="6">
        <v>0.80400000000000005</v>
      </c>
      <c r="I72" s="6">
        <v>0.80400000000000005</v>
      </c>
      <c r="J72" s="6">
        <v>0.80400000000000005</v>
      </c>
      <c r="K72" s="6">
        <v>0.80400000000000005</v>
      </c>
      <c r="L72" s="6">
        <v>0.80400000000000005</v>
      </c>
      <c r="M72" s="6">
        <v>0.80400000000000005</v>
      </c>
      <c r="N72" s="46">
        <v>0.80400000000000005</v>
      </c>
    </row>
    <row r="73" spans="1:14" x14ac:dyDescent="0.25">
      <c r="A73" s="53">
        <v>976</v>
      </c>
      <c r="B73" s="3" t="s">
        <v>419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54">
        <v>0</v>
      </c>
    </row>
    <row r="74" spans="1:14" x14ac:dyDescent="0.25">
      <c r="A74" s="171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72"/>
    </row>
    <row r="75" spans="1:14" x14ac:dyDescent="0.25">
      <c r="A75" s="175" t="s">
        <v>292</v>
      </c>
      <c r="B75" s="150" t="s">
        <v>293</v>
      </c>
      <c r="C75" s="157" t="s">
        <v>308</v>
      </c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76"/>
    </row>
    <row r="76" spans="1:14" x14ac:dyDescent="0.25">
      <c r="A76" s="175"/>
      <c r="B76" s="150"/>
      <c r="C76" s="30" t="s">
        <v>295</v>
      </c>
      <c r="D76" s="30" t="s">
        <v>296</v>
      </c>
      <c r="E76" s="30" t="s">
        <v>297</v>
      </c>
      <c r="F76" s="30" t="s">
        <v>298</v>
      </c>
      <c r="G76" s="30" t="s">
        <v>299</v>
      </c>
      <c r="H76" s="30" t="s">
        <v>300</v>
      </c>
      <c r="I76" s="30" t="s">
        <v>301</v>
      </c>
      <c r="J76" s="30" t="s">
        <v>302</v>
      </c>
      <c r="K76" s="30" t="s">
        <v>303</v>
      </c>
      <c r="L76" s="30" t="s">
        <v>304</v>
      </c>
      <c r="M76" s="30" t="s">
        <v>305</v>
      </c>
      <c r="N76" s="42" t="s">
        <v>306</v>
      </c>
    </row>
    <row r="77" spans="1:14" x14ac:dyDescent="0.25">
      <c r="A77" s="38">
        <v>976</v>
      </c>
      <c r="B77" s="5" t="s">
        <v>419</v>
      </c>
      <c r="C77" s="29">
        <v>5.87</v>
      </c>
      <c r="D77" s="29">
        <v>5.5</v>
      </c>
      <c r="E77" s="29">
        <v>4.87</v>
      </c>
      <c r="F77" s="29">
        <v>3.83</v>
      </c>
      <c r="G77" s="29">
        <v>2.68</v>
      </c>
      <c r="H77" s="29">
        <v>2.13</v>
      </c>
      <c r="I77" s="29">
        <v>2.48</v>
      </c>
      <c r="J77" s="29">
        <v>3.23</v>
      </c>
      <c r="K77" s="29">
        <v>3.8</v>
      </c>
      <c r="L77" s="29">
        <v>4.8099999999999996</v>
      </c>
      <c r="M77" s="29">
        <v>5.87</v>
      </c>
      <c r="N77" s="44">
        <v>5.9</v>
      </c>
    </row>
    <row r="78" spans="1:14" x14ac:dyDescent="0.25">
      <c r="A78" s="171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72"/>
    </row>
    <row r="79" spans="1:14" ht="18.75" x14ac:dyDescent="0.25">
      <c r="A79" s="173" t="s">
        <v>309</v>
      </c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74"/>
    </row>
    <row r="80" spans="1:14" x14ac:dyDescent="0.25">
      <c r="A80" s="175" t="s">
        <v>292</v>
      </c>
      <c r="B80" s="150" t="s">
        <v>293</v>
      </c>
      <c r="C80" s="150" t="s">
        <v>1</v>
      </c>
      <c r="D80" s="150" t="s">
        <v>2</v>
      </c>
      <c r="E80" s="150" t="s">
        <v>310</v>
      </c>
      <c r="F80" s="150"/>
      <c r="G80" s="150"/>
      <c r="H80" s="150"/>
      <c r="I80" s="30"/>
      <c r="J80" s="30"/>
      <c r="K80" s="30"/>
      <c r="L80" s="30"/>
      <c r="M80" s="30"/>
      <c r="N80" s="42"/>
    </row>
    <row r="81" spans="1:14" x14ac:dyDescent="0.25">
      <c r="A81" s="175"/>
      <c r="B81" s="150"/>
      <c r="C81" s="150"/>
      <c r="D81" s="150"/>
      <c r="E81" s="30" t="s">
        <v>292</v>
      </c>
      <c r="F81" s="30" t="s">
        <v>293</v>
      </c>
      <c r="G81" s="30" t="s">
        <v>1</v>
      </c>
      <c r="H81" s="30" t="s">
        <v>2</v>
      </c>
      <c r="I81" s="30"/>
      <c r="J81" s="30"/>
      <c r="K81" s="30"/>
      <c r="L81" s="30"/>
      <c r="M81" s="30"/>
      <c r="N81" s="42"/>
    </row>
    <row r="82" spans="1:14" x14ac:dyDescent="0.25">
      <c r="A82" s="15" t="s">
        <v>31</v>
      </c>
      <c r="B82" s="5" t="s">
        <v>32</v>
      </c>
      <c r="C82" s="29">
        <v>-25.78</v>
      </c>
      <c r="D82" s="35">
        <v>-52</v>
      </c>
      <c r="E82" s="35"/>
      <c r="F82" s="26"/>
      <c r="G82" s="35"/>
      <c r="H82" s="35"/>
      <c r="I82" s="35"/>
      <c r="J82" s="35"/>
      <c r="K82" s="35"/>
      <c r="L82" s="35"/>
      <c r="M82" s="35"/>
      <c r="N82" s="46"/>
    </row>
    <row r="83" spans="1:14" x14ac:dyDescent="0.25">
      <c r="A83" s="171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72"/>
    </row>
    <row r="84" spans="1:14" ht="18.75" x14ac:dyDescent="0.25">
      <c r="A84" s="173" t="s">
        <v>311</v>
      </c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74"/>
    </row>
    <row r="85" spans="1:14" x14ac:dyDescent="0.25">
      <c r="A85" s="175" t="s">
        <v>292</v>
      </c>
      <c r="B85" s="150" t="s">
        <v>293</v>
      </c>
      <c r="C85" s="151" t="s">
        <v>312</v>
      </c>
      <c r="D85" s="152"/>
      <c r="E85" s="152"/>
      <c r="F85" s="153"/>
      <c r="G85" s="151" t="s">
        <v>313</v>
      </c>
      <c r="H85" s="152"/>
      <c r="I85" s="152"/>
      <c r="J85" s="153"/>
      <c r="K85" s="30"/>
      <c r="L85" s="30"/>
      <c r="M85" s="30"/>
      <c r="N85" s="42"/>
    </row>
    <row r="86" spans="1:14" x14ac:dyDescent="0.25">
      <c r="A86" s="175"/>
      <c r="B86" s="150"/>
      <c r="C86" s="154"/>
      <c r="D86" s="155"/>
      <c r="E86" s="155"/>
      <c r="F86" s="156"/>
      <c r="G86" s="154"/>
      <c r="H86" s="155"/>
      <c r="I86" s="155"/>
      <c r="J86" s="156"/>
      <c r="K86" s="30"/>
      <c r="L86" s="30"/>
      <c r="M86" s="30"/>
      <c r="N86" s="42"/>
    </row>
    <row r="87" spans="1:14" ht="15.75" thickBot="1" x14ac:dyDescent="0.3">
      <c r="A87" s="49"/>
      <c r="B87" s="50"/>
      <c r="C87" s="177"/>
      <c r="D87" s="177"/>
      <c r="E87" s="177"/>
      <c r="F87" s="177"/>
      <c r="G87" s="177"/>
      <c r="H87" s="177"/>
      <c r="I87" s="177"/>
      <c r="J87" s="177"/>
      <c r="K87" s="51"/>
      <c r="L87" s="51"/>
      <c r="M87" s="51"/>
      <c r="N87" s="52"/>
    </row>
    <row r="88" spans="1:14" ht="16.5" thickTop="1" thickBot="1" x14ac:dyDescent="0.3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</row>
    <row r="89" spans="1:14" ht="19.5" thickTop="1" x14ac:dyDescent="0.25">
      <c r="A89" s="178" t="s">
        <v>420</v>
      </c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80"/>
    </row>
    <row r="90" spans="1:14" x14ac:dyDescent="0.25">
      <c r="A90" s="171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72"/>
    </row>
    <row r="91" spans="1:14" ht="18.75" x14ac:dyDescent="0.25">
      <c r="A91" s="173" t="s">
        <v>291</v>
      </c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74"/>
    </row>
    <row r="92" spans="1:14" x14ac:dyDescent="0.25">
      <c r="A92" s="175" t="s">
        <v>292</v>
      </c>
      <c r="B92" s="150" t="s">
        <v>293</v>
      </c>
      <c r="C92" s="157" t="s">
        <v>294</v>
      </c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76"/>
    </row>
    <row r="93" spans="1:14" x14ac:dyDescent="0.25">
      <c r="A93" s="175"/>
      <c r="B93" s="150"/>
      <c r="C93" s="30" t="s">
        <v>295</v>
      </c>
      <c r="D93" s="30" t="s">
        <v>296</v>
      </c>
      <c r="E93" s="30" t="s">
        <v>297</v>
      </c>
      <c r="F93" s="30" t="s">
        <v>298</v>
      </c>
      <c r="G93" s="30" t="s">
        <v>299</v>
      </c>
      <c r="H93" s="30" t="s">
        <v>300</v>
      </c>
      <c r="I93" s="30" t="s">
        <v>301</v>
      </c>
      <c r="J93" s="30" t="s">
        <v>302</v>
      </c>
      <c r="K93" s="30" t="s">
        <v>303</v>
      </c>
      <c r="L93" s="30" t="s">
        <v>304</v>
      </c>
      <c r="M93" s="30" t="s">
        <v>305</v>
      </c>
      <c r="N93" s="42" t="s">
        <v>306</v>
      </c>
    </row>
    <row r="94" spans="1:14" x14ac:dyDescent="0.25">
      <c r="A94" s="38">
        <v>222</v>
      </c>
      <c r="B94" s="5" t="s">
        <v>34</v>
      </c>
      <c r="C94" s="6">
        <v>0.51</v>
      </c>
      <c r="D94" s="6">
        <v>0.51</v>
      </c>
      <c r="E94" s="6">
        <v>0.51</v>
      </c>
      <c r="F94" s="6">
        <v>0.51</v>
      </c>
      <c r="G94" s="6">
        <v>0.51</v>
      </c>
      <c r="H94" s="6">
        <v>0.51</v>
      </c>
      <c r="I94" s="6">
        <v>0.51</v>
      </c>
      <c r="J94" s="6">
        <v>0.51</v>
      </c>
      <c r="K94" s="6">
        <v>0.51</v>
      </c>
      <c r="L94" s="6">
        <v>0.51</v>
      </c>
      <c r="M94" s="6">
        <v>0.51</v>
      </c>
      <c r="N94" s="43">
        <v>0.51</v>
      </c>
    </row>
    <row r="95" spans="1:14" x14ac:dyDescent="0.25">
      <c r="A95" s="53">
        <v>78</v>
      </c>
      <c r="B95" s="3" t="s">
        <v>421</v>
      </c>
      <c r="C95" s="7">
        <v>8.1000000000000003E-2</v>
      </c>
      <c r="D95" s="7">
        <v>8.1000000000000003E-2</v>
      </c>
      <c r="E95" s="7">
        <v>8.1000000000000003E-2</v>
      </c>
      <c r="F95" s="7">
        <v>8.1000000000000003E-2</v>
      </c>
      <c r="G95" s="7">
        <v>8.1000000000000003E-2</v>
      </c>
      <c r="H95" s="7">
        <v>8.1000000000000003E-2</v>
      </c>
      <c r="I95" s="7">
        <v>8.1000000000000003E-2</v>
      </c>
      <c r="J95" s="7">
        <v>8.1000000000000003E-2</v>
      </c>
      <c r="K95" s="7">
        <v>8.1000000000000003E-2</v>
      </c>
      <c r="L95" s="7">
        <v>8.1000000000000003E-2</v>
      </c>
      <c r="M95" s="7">
        <v>8.1000000000000003E-2</v>
      </c>
      <c r="N95" s="45">
        <v>8.1000000000000003E-2</v>
      </c>
    </row>
    <row r="96" spans="1:14" x14ac:dyDescent="0.25">
      <c r="A96" s="38">
        <v>77</v>
      </c>
      <c r="B96" s="5" t="s">
        <v>422</v>
      </c>
      <c r="C96" s="6">
        <v>0.20499999999999999</v>
      </c>
      <c r="D96" s="6">
        <v>0.20499999999999999</v>
      </c>
      <c r="E96" s="6">
        <v>0.20499999999999999</v>
      </c>
      <c r="F96" s="6">
        <v>0.20499999999999999</v>
      </c>
      <c r="G96" s="6">
        <v>0.20499999999999999</v>
      </c>
      <c r="H96" s="6">
        <v>0.20499999999999999</v>
      </c>
      <c r="I96" s="6">
        <v>0.20499999999999999</v>
      </c>
      <c r="J96" s="6">
        <v>0.20499999999999999</v>
      </c>
      <c r="K96" s="6">
        <v>0.20499999999999999</v>
      </c>
      <c r="L96" s="6">
        <v>0.20499999999999999</v>
      </c>
      <c r="M96" s="6">
        <v>0.20499999999999999</v>
      </c>
      <c r="N96" s="46">
        <v>0.20499999999999999</v>
      </c>
    </row>
    <row r="97" spans="1:14" x14ac:dyDescent="0.25">
      <c r="A97" s="53">
        <v>81</v>
      </c>
      <c r="B97" s="3" t="s">
        <v>423</v>
      </c>
      <c r="C97" s="7">
        <v>0.20399999999999999</v>
      </c>
      <c r="D97" s="7">
        <v>0.20399999999999999</v>
      </c>
      <c r="E97" s="7">
        <v>0.20399999999999999</v>
      </c>
      <c r="F97" s="7">
        <v>0.20399999999999999</v>
      </c>
      <c r="G97" s="7">
        <v>0.20399999999999999</v>
      </c>
      <c r="H97" s="7">
        <v>0.20399999999999999</v>
      </c>
      <c r="I97" s="7">
        <v>0.20399999999999999</v>
      </c>
      <c r="J97" s="7">
        <v>0.20399999999999999</v>
      </c>
      <c r="K97" s="7">
        <v>0.20399999999999999</v>
      </c>
      <c r="L97" s="7">
        <v>0.20399999999999999</v>
      </c>
      <c r="M97" s="7">
        <v>0.20399999999999999</v>
      </c>
      <c r="N97" s="45">
        <v>0.20399999999999999</v>
      </c>
    </row>
    <row r="98" spans="1:14" x14ac:dyDescent="0.25">
      <c r="A98" s="171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72"/>
    </row>
    <row r="99" spans="1:14" x14ac:dyDescent="0.25">
      <c r="A99" s="175" t="s">
        <v>292</v>
      </c>
      <c r="B99" s="150" t="s">
        <v>293</v>
      </c>
      <c r="C99" s="157" t="s">
        <v>308</v>
      </c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76"/>
    </row>
    <row r="100" spans="1:14" x14ac:dyDescent="0.25">
      <c r="A100" s="175"/>
      <c r="B100" s="150"/>
      <c r="C100" s="30" t="s">
        <v>295</v>
      </c>
      <c r="D100" s="30" t="s">
        <v>296</v>
      </c>
      <c r="E100" s="30" t="s">
        <v>297</v>
      </c>
      <c r="F100" s="30" t="s">
        <v>298</v>
      </c>
      <c r="G100" s="30" t="s">
        <v>299</v>
      </c>
      <c r="H100" s="30" t="s">
        <v>300</v>
      </c>
      <c r="I100" s="30" t="s">
        <v>301</v>
      </c>
      <c r="J100" s="30" t="s">
        <v>302</v>
      </c>
      <c r="K100" s="30" t="s">
        <v>303</v>
      </c>
      <c r="L100" s="30" t="s">
        <v>304</v>
      </c>
      <c r="M100" s="30" t="s">
        <v>305</v>
      </c>
      <c r="N100" s="42" t="s">
        <v>306</v>
      </c>
    </row>
    <row r="101" spans="1:14" x14ac:dyDescent="0.25">
      <c r="A101" s="38">
        <v>81</v>
      </c>
      <c r="B101" s="5" t="s">
        <v>423</v>
      </c>
      <c r="C101" s="29">
        <v>6.23</v>
      </c>
      <c r="D101" s="29">
        <v>5.75</v>
      </c>
      <c r="E101" s="29">
        <v>4.9000000000000004</v>
      </c>
      <c r="F101" s="29">
        <v>3.63</v>
      </c>
      <c r="G101" s="29">
        <v>2.52</v>
      </c>
      <c r="H101" s="29">
        <v>2</v>
      </c>
      <c r="I101" s="29">
        <v>2.35</v>
      </c>
      <c r="J101" s="29">
        <v>3.13</v>
      </c>
      <c r="K101" s="29">
        <v>3.77</v>
      </c>
      <c r="L101" s="29">
        <v>4.9400000000000004</v>
      </c>
      <c r="M101" s="29">
        <v>6.07</v>
      </c>
      <c r="N101" s="44">
        <v>6.39</v>
      </c>
    </row>
    <row r="102" spans="1:14" x14ac:dyDescent="0.25">
      <c r="A102" s="171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72"/>
    </row>
    <row r="103" spans="1:14" ht="18.75" x14ac:dyDescent="0.25">
      <c r="A103" s="173" t="s">
        <v>309</v>
      </c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74"/>
    </row>
    <row r="104" spans="1:14" x14ac:dyDescent="0.25">
      <c r="A104" s="175" t="s">
        <v>292</v>
      </c>
      <c r="B104" s="150" t="s">
        <v>293</v>
      </c>
      <c r="C104" s="150" t="s">
        <v>1</v>
      </c>
      <c r="D104" s="150" t="s">
        <v>2</v>
      </c>
      <c r="E104" s="150" t="s">
        <v>310</v>
      </c>
      <c r="F104" s="150"/>
      <c r="G104" s="150"/>
      <c r="H104" s="150"/>
      <c r="I104" s="30"/>
      <c r="J104" s="30"/>
      <c r="K104" s="30"/>
      <c r="L104" s="30"/>
      <c r="M104" s="30"/>
      <c r="N104" s="42"/>
    </row>
    <row r="105" spans="1:14" x14ac:dyDescent="0.25">
      <c r="A105" s="175"/>
      <c r="B105" s="150"/>
      <c r="C105" s="150"/>
      <c r="D105" s="150"/>
      <c r="E105" s="30" t="s">
        <v>292</v>
      </c>
      <c r="F105" s="30" t="s">
        <v>293</v>
      </c>
      <c r="G105" s="30" t="s">
        <v>1</v>
      </c>
      <c r="H105" s="30" t="s">
        <v>2</v>
      </c>
      <c r="I105" s="30"/>
      <c r="J105" s="30"/>
      <c r="K105" s="30"/>
      <c r="L105" s="30"/>
      <c r="M105" s="30"/>
      <c r="N105" s="42"/>
    </row>
    <row r="106" spans="1:14" x14ac:dyDescent="0.25">
      <c r="A106" s="15" t="s">
        <v>424</v>
      </c>
      <c r="B106" s="5" t="s">
        <v>423</v>
      </c>
      <c r="C106" s="29">
        <v>-25.51</v>
      </c>
      <c r="D106" s="35">
        <v>-53.67</v>
      </c>
      <c r="E106" s="35"/>
      <c r="F106" s="26"/>
      <c r="G106" s="35"/>
      <c r="H106" s="35"/>
      <c r="I106" s="35"/>
      <c r="J106" s="35"/>
      <c r="K106" s="35"/>
      <c r="L106" s="35"/>
      <c r="M106" s="35"/>
      <c r="N106" s="46"/>
    </row>
    <row r="107" spans="1:14" x14ac:dyDescent="0.25">
      <c r="A107" s="171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72"/>
    </row>
    <row r="108" spans="1:14" ht="18.75" x14ac:dyDescent="0.25">
      <c r="A108" s="173" t="s">
        <v>311</v>
      </c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74"/>
    </row>
    <row r="109" spans="1:14" x14ac:dyDescent="0.25">
      <c r="A109" s="175" t="s">
        <v>292</v>
      </c>
      <c r="B109" s="150" t="s">
        <v>293</v>
      </c>
      <c r="C109" s="151" t="s">
        <v>312</v>
      </c>
      <c r="D109" s="152"/>
      <c r="E109" s="152"/>
      <c r="F109" s="153"/>
      <c r="G109" s="151" t="s">
        <v>313</v>
      </c>
      <c r="H109" s="152"/>
      <c r="I109" s="152"/>
      <c r="J109" s="153"/>
      <c r="K109" s="30"/>
      <c r="L109" s="30"/>
      <c r="M109" s="30"/>
      <c r="N109" s="42"/>
    </row>
    <row r="110" spans="1:14" x14ac:dyDescent="0.25">
      <c r="A110" s="175"/>
      <c r="B110" s="150"/>
      <c r="C110" s="154"/>
      <c r="D110" s="155"/>
      <c r="E110" s="155"/>
      <c r="F110" s="156"/>
      <c r="G110" s="154"/>
      <c r="H110" s="155"/>
      <c r="I110" s="155"/>
      <c r="J110" s="156"/>
      <c r="K110" s="30"/>
      <c r="L110" s="30"/>
      <c r="M110" s="30"/>
      <c r="N110" s="42"/>
    </row>
    <row r="111" spans="1:14" ht="15.75" thickBot="1" x14ac:dyDescent="0.3">
      <c r="A111" s="49"/>
      <c r="B111" s="50"/>
      <c r="C111" s="177"/>
      <c r="D111" s="177"/>
      <c r="E111" s="177"/>
      <c r="F111" s="177"/>
      <c r="G111" s="177"/>
      <c r="H111" s="177"/>
      <c r="I111" s="177"/>
      <c r="J111" s="177"/>
      <c r="K111" s="51"/>
      <c r="L111" s="51"/>
      <c r="M111" s="51"/>
      <c r="N111" s="52"/>
    </row>
    <row r="112" spans="1:14" ht="16.5" thickTop="1" thickBot="1" x14ac:dyDescent="0.3"/>
    <row r="113" spans="1:14" ht="19.5" thickTop="1" x14ac:dyDescent="0.25">
      <c r="A113" s="178" t="s">
        <v>425</v>
      </c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80"/>
    </row>
    <row r="114" spans="1:14" x14ac:dyDescent="0.25">
      <c r="A114" s="171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72"/>
    </row>
    <row r="115" spans="1:14" ht="18.75" x14ac:dyDescent="0.25">
      <c r="A115" s="173" t="s">
        <v>291</v>
      </c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74"/>
    </row>
    <row r="116" spans="1:14" x14ac:dyDescent="0.25">
      <c r="A116" s="175" t="s">
        <v>292</v>
      </c>
      <c r="B116" s="150" t="s">
        <v>293</v>
      </c>
      <c r="C116" s="157" t="s">
        <v>294</v>
      </c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76"/>
    </row>
    <row r="117" spans="1:14" x14ac:dyDescent="0.25">
      <c r="A117" s="175"/>
      <c r="B117" s="150"/>
      <c r="C117" s="30" t="s">
        <v>295</v>
      </c>
      <c r="D117" s="30" t="s">
        <v>296</v>
      </c>
      <c r="E117" s="30" t="s">
        <v>297</v>
      </c>
      <c r="F117" s="30" t="s">
        <v>298</v>
      </c>
      <c r="G117" s="30" t="s">
        <v>299</v>
      </c>
      <c r="H117" s="30" t="s">
        <v>300</v>
      </c>
      <c r="I117" s="30" t="s">
        <v>301</v>
      </c>
      <c r="J117" s="30" t="s">
        <v>302</v>
      </c>
      <c r="K117" s="30" t="s">
        <v>303</v>
      </c>
      <c r="L117" s="30" t="s">
        <v>304</v>
      </c>
      <c r="M117" s="30" t="s">
        <v>305</v>
      </c>
      <c r="N117" s="42" t="s">
        <v>306</v>
      </c>
    </row>
    <row r="118" spans="1:14" x14ac:dyDescent="0.25">
      <c r="A118" s="38">
        <v>215</v>
      </c>
      <c r="B118" s="5" t="s">
        <v>100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43"/>
    </row>
    <row r="119" spans="1:14" x14ac:dyDescent="0.25">
      <c r="A119" s="171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72"/>
    </row>
    <row r="120" spans="1:14" x14ac:dyDescent="0.25">
      <c r="A120" s="175" t="s">
        <v>292</v>
      </c>
      <c r="B120" s="150" t="s">
        <v>293</v>
      </c>
      <c r="C120" s="157" t="s">
        <v>308</v>
      </c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76"/>
    </row>
    <row r="121" spans="1:14" x14ac:dyDescent="0.25">
      <c r="A121" s="175"/>
      <c r="B121" s="150"/>
      <c r="C121" s="30" t="s">
        <v>295</v>
      </c>
      <c r="D121" s="30" t="s">
        <v>296</v>
      </c>
      <c r="E121" s="30" t="s">
        <v>297</v>
      </c>
      <c r="F121" s="30" t="s">
        <v>298</v>
      </c>
      <c r="G121" s="30" t="s">
        <v>299</v>
      </c>
      <c r="H121" s="30" t="s">
        <v>300</v>
      </c>
      <c r="I121" s="30" t="s">
        <v>301</v>
      </c>
      <c r="J121" s="30" t="s">
        <v>302</v>
      </c>
      <c r="K121" s="30" t="s">
        <v>303</v>
      </c>
      <c r="L121" s="30" t="s">
        <v>304</v>
      </c>
      <c r="M121" s="30" t="s">
        <v>305</v>
      </c>
      <c r="N121" s="42" t="s">
        <v>306</v>
      </c>
    </row>
    <row r="122" spans="1:14" x14ac:dyDescent="0.25">
      <c r="A122" s="38">
        <v>215</v>
      </c>
      <c r="B122" s="5" t="s">
        <v>100</v>
      </c>
      <c r="C122" s="29">
        <v>5.81</v>
      </c>
      <c r="D122" s="29">
        <v>5.25</v>
      </c>
      <c r="E122" s="29">
        <v>4.3899999999999997</v>
      </c>
      <c r="F122" s="29">
        <v>3.3</v>
      </c>
      <c r="G122" s="29">
        <v>2.39</v>
      </c>
      <c r="H122" s="29">
        <v>1.77</v>
      </c>
      <c r="I122" s="29">
        <v>2.06</v>
      </c>
      <c r="J122" s="29">
        <v>2.71</v>
      </c>
      <c r="K122" s="29">
        <v>3.27</v>
      </c>
      <c r="L122" s="29">
        <v>4.4800000000000004</v>
      </c>
      <c r="M122" s="29">
        <v>5.57</v>
      </c>
      <c r="N122" s="44">
        <v>5.84</v>
      </c>
    </row>
    <row r="123" spans="1:14" x14ac:dyDescent="0.25">
      <c r="A123" s="171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72"/>
    </row>
    <row r="124" spans="1:14" ht="18.75" x14ac:dyDescent="0.25">
      <c r="A124" s="173" t="s">
        <v>309</v>
      </c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74"/>
    </row>
    <row r="125" spans="1:14" x14ac:dyDescent="0.25">
      <c r="A125" s="175" t="s">
        <v>292</v>
      </c>
      <c r="B125" s="150" t="s">
        <v>293</v>
      </c>
      <c r="C125" s="150" t="s">
        <v>1</v>
      </c>
      <c r="D125" s="150" t="s">
        <v>2</v>
      </c>
      <c r="E125" s="150" t="s">
        <v>310</v>
      </c>
      <c r="F125" s="150"/>
      <c r="G125" s="150"/>
      <c r="H125" s="150"/>
      <c r="I125" s="30"/>
      <c r="J125" s="30"/>
      <c r="K125" s="30"/>
      <c r="L125" s="30"/>
      <c r="M125" s="30"/>
      <c r="N125" s="42"/>
    </row>
    <row r="126" spans="1:14" x14ac:dyDescent="0.25">
      <c r="A126" s="175"/>
      <c r="B126" s="150"/>
      <c r="C126" s="150"/>
      <c r="D126" s="150"/>
      <c r="E126" s="30" t="s">
        <v>292</v>
      </c>
      <c r="F126" s="30" t="s">
        <v>293</v>
      </c>
      <c r="G126" s="30" t="s">
        <v>1</v>
      </c>
      <c r="H126" s="30" t="s">
        <v>2</v>
      </c>
      <c r="I126" s="30"/>
      <c r="J126" s="30"/>
      <c r="K126" s="30"/>
      <c r="L126" s="30"/>
      <c r="M126" s="30"/>
      <c r="N126" s="42"/>
    </row>
    <row r="127" spans="1:14" x14ac:dyDescent="0.25">
      <c r="A127" s="15" t="s">
        <v>99</v>
      </c>
      <c r="B127" s="5" t="s">
        <v>100</v>
      </c>
      <c r="C127" s="29">
        <v>-27.78</v>
      </c>
      <c r="D127" s="29">
        <v>-51.2</v>
      </c>
      <c r="E127" s="6"/>
      <c r="F127" s="70"/>
      <c r="G127" s="6"/>
      <c r="H127" s="6"/>
      <c r="I127" s="35"/>
      <c r="J127" s="35"/>
      <c r="K127" s="35"/>
      <c r="L127" s="35"/>
      <c r="M127" s="35"/>
      <c r="N127" s="46"/>
    </row>
    <row r="128" spans="1:14" x14ac:dyDescent="0.25">
      <c r="A128" s="171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72"/>
    </row>
    <row r="129" spans="1:14" ht="18.75" x14ac:dyDescent="0.25">
      <c r="A129" s="173" t="s">
        <v>311</v>
      </c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74"/>
    </row>
    <row r="130" spans="1:14" x14ac:dyDescent="0.25">
      <c r="A130" s="175" t="s">
        <v>292</v>
      </c>
      <c r="B130" s="150" t="s">
        <v>293</v>
      </c>
      <c r="C130" s="151" t="s">
        <v>312</v>
      </c>
      <c r="D130" s="152"/>
      <c r="E130" s="152"/>
      <c r="F130" s="153"/>
      <c r="G130" s="151" t="s">
        <v>313</v>
      </c>
      <c r="H130" s="152"/>
      <c r="I130" s="152"/>
      <c r="J130" s="153"/>
      <c r="K130" s="30"/>
      <c r="L130" s="30"/>
      <c r="M130" s="30"/>
      <c r="N130" s="42"/>
    </row>
    <row r="131" spans="1:14" x14ac:dyDescent="0.25">
      <c r="A131" s="175"/>
      <c r="B131" s="150"/>
      <c r="C131" s="154"/>
      <c r="D131" s="155"/>
      <c r="E131" s="155"/>
      <c r="F131" s="156"/>
      <c r="G131" s="154"/>
      <c r="H131" s="155"/>
      <c r="I131" s="155"/>
      <c r="J131" s="156"/>
      <c r="K131" s="30"/>
      <c r="L131" s="30"/>
      <c r="M131" s="30"/>
      <c r="N131" s="42"/>
    </row>
    <row r="132" spans="1:14" ht="15.75" thickBot="1" x14ac:dyDescent="0.3">
      <c r="A132" s="49"/>
      <c r="B132" s="50"/>
      <c r="C132" s="177"/>
      <c r="D132" s="177"/>
      <c r="E132" s="177"/>
      <c r="F132" s="177"/>
      <c r="G132" s="177"/>
      <c r="H132" s="177"/>
      <c r="I132" s="177"/>
      <c r="J132" s="177"/>
      <c r="K132" s="51"/>
      <c r="L132" s="51"/>
      <c r="M132" s="51"/>
      <c r="N132" s="52"/>
    </row>
    <row r="133" spans="1:14" ht="16.5" thickTop="1" thickBot="1" x14ac:dyDescent="0.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</row>
    <row r="134" spans="1:14" ht="19.5" thickTop="1" x14ac:dyDescent="0.25">
      <c r="A134" s="178" t="s">
        <v>426</v>
      </c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80"/>
    </row>
    <row r="135" spans="1:14" x14ac:dyDescent="0.25">
      <c r="A135" s="171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72"/>
    </row>
    <row r="136" spans="1:14" ht="18.75" x14ac:dyDescent="0.25">
      <c r="A136" s="173" t="s">
        <v>291</v>
      </c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74"/>
    </row>
    <row r="137" spans="1:14" x14ac:dyDescent="0.25">
      <c r="A137" s="175" t="s">
        <v>292</v>
      </c>
      <c r="B137" s="150" t="s">
        <v>293</v>
      </c>
      <c r="C137" s="157" t="s">
        <v>294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76"/>
    </row>
    <row r="138" spans="1:14" x14ac:dyDescent="0.25">
      <c r="A138" s="175"/>
      <c r="B138" s="150"/>
      <c r="C138" s="30" t="s">
        <v>295</v>
      </c>
      <c r="D138" s="30" t="s">
        <v>296</v>
      </c>
      <c r="E138" s="30" t="s">
        <v>297</v>
      </c>
      <c r="F138" s="30" t="s">
        <v>298</v>
      </c>
      <c r="G138" s="30" t="s">
        <v>299</v>
      </c>
      <c r="H138" s="30" t="s">
        <v>300</v>
      </c>
      <c r="I138" s="30" t="s">
        <v>301</v>
      </c>
      <c r="J138" s="30" t="s">
        <v>302</v>
      </c>
      <c r="K138" s="30" t="s">
        <v>303</v>
      </c>
      <c r="L138" s="30" t="s">
        <v>304</v>
      </c>
      <c r="M138" s="30" t="s">
        <v>305</v>
      </c>
      <c r="N138" s="42" t="s">
        <v>306</v>
      </c>
    </row>
    <row r="139" spans="1:14" x14ac:dyDescent="0.25">
      <c r="A139" s="38">
        <v>88</v>
      </c>
      <c r="B139" s="5" t="s">
        <v>427</v>
      </c>
      <c r="C139" s="6">
        <v>0.745</v>
      </c>
      <c r="D139" s="6">
        <v>0.745</v>
      </c>
      <c r="E139" s="6">
        <v>0.745</v>
      </c>
      <c r="F139" s="6">
        <v>0.745</v>
      </c>
      <c r="G139" s="6">
        <v>0.745</v>
      </c>
      <c r="H139" s="6">
        <v>0.745</v>
      </c>
      <c r="I139" s="6">
        <v>0.745</v>
      </c>
      <c r="J139" s="6">
        <v>0.745</v>
      </c>
      <c r="K139" s="6">
        <v>0.745</v>
      </c>
      <c r="L139" s="6">
        <v>0.745</v>
      </c>
      <c r="M139" s="6">
        <v>0.745</v>
      </c>
      <c r="N139" s="43">
        <v>0.745</v>
      </c>
    </row>
    <row r="140" spans="1:14" x14ac:dyDescent="0.25">
      <c r="A140" s="53">
        <v>89</v>
      </c>
      <c r="B140" s="3" t="s">
        <v>428</v>
      </c>
      <c r="C140" s="7">
        <v>0.16500000000000001</v>
      </c>
      <c r="D140" s="7">
        <v>0.16500000000000001</v>
      </c>
      <c r="E140" s="7">
        <v>0.16500000000000001</v>
      </c>
      <c r="F140" s="7">
        <v>0.16500000000000001</v>
      </c>
      <c r="G140" s="7">
        <v>0.16500000000000001</v>
      </c>
      <c r="H140" s="7">
        <v>0.16500000000000001</v>
      </c>
      <c r="I140" s="7">
        <v>0.16500000000000001</v>
      </c>
      <c r="J140" s="7">
        <v>0.16500000000000001</v>
      </c>
      <c r="K140" s="7">
        <v>0.16500000000000001</v>
      </c>
      <c r="L140" s="7">
        <v>0.16500000000000001</v>
      </c>
      <c r="M140" s="7">
        <v>0.16500000000000001</v>
      </c>
      <c r="N140" s="54">
        <v>0.16500000000000001</v>
      </c>
    </row>
    <row r="141" spans="1:14" x14ac:dyDescent="0.25">
      <c r="A141" s="38">
        <v>216</v>
      </c>
      <c r="B141" s="5" t="s">
        <v>102</v>
      </c>
      <c r="C141" s="6">
        <v>0.09</v>
      </c>
      <c r="D141" s="6">
        <v>0.09</v>
      </c>
      <c r="E141" s="6">
        <v>0.09</v>
      </c>
      <c r="F141" s="6">
        <v>0.09</v>
      </c>
      <c r="G141" s="6">
        <v>0.09</v>
      </c>
      <c r="H141" s="6">
        <v>0.09</v>
      </c>
      <c r="I141" s="6">
        <v>0.09</v>
      </c>
      <c r="J141" s="6">
        <v>0.09</v>
      </c>
      <c r="K141" s="6">
        <v>0.09</v>
      </c>
      <c r="L141" s="6">
        <v>0.09</v>
      </c>
      <c r="M141" s="6">
        <v>0.09</v>
      </c>
      <c r="N141" s="43">
        <v>0.09</v>
      </c>
    </row>
    <row r="142" spans="1:14" x14ac:dyDescent="0.25">
      <c r="A142" s="171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72"/>
    </row>
    <row r="143" spans="1:14" x14ac:dyDescent="0.25">
      <c r="A143" s="175" t="s">
        <v>292</v>
      </c>
      <c r="B143" s="150" t="s">
        <v>293</v>
      </c>
      <c r="C143" s="157" t="s">
        <v>308</v>
      </c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76"/>
    </row>
    <row r="144" spans="1:14" x14ac:dyDescent="0.25">
      <c r="A144" s="175"/>
      <c r="B144" s="150"/>
      <c r="C144" s="30" t="s">
        <v>295</v>
      </c>
      <c r="D144" s="30" t="s">
        <v>296</v>
      </c>
      <c r="E144" s="30" t="s">
        <v>297</v>
      </c>
      <c r="F144" s="30" t="s">
        <v>298</v>
      </c>
      <c r="G144" s="30" t="s">
        <v>299</v>
      </c>
      <c r="H144" s="30" t="s">
        <v>300</v>
      </c>
      <c r="I144" s="30" t="s">
        <v>301</v>
      </c>
      <c r="J144" s="30" t="s">
        <v>302</v>
      </c>
      <c r="K144" s="30" t="s">
        <v>303</v>
      </c>
      <c r="L144" s="30" t="s">
        <v>304</v>
      </c>
      <c r="M144" s="30" t="s">
        <v>305</v>
      </c>
      <c r="N144" s="42" t="s">
        <v>306</v>
      </c>
    </row>
    <row r="145" spans="1:14" x14ac:dyDescent="0.25">
      <c r="A145" s="38">
        <v>216</v>
      </c>
      <c r="B145" s="5" t="s">
        <v>102</v>
      </c>
      <c r="C145" s="29">
        <v>5.74</v>
      </c>
      <c r="D145" s="29">
        <v>5.18</v>
      </c>
      <c r="E145" s="29">
        <v>4.3499999999999996</v>
      </c>
      <c r="F145" s="29">
        <v>3.3</v>
      </c>
      <c r="G145" s="29">
        <v>2.35</v>
      </c>
      <c r="H145" s="29">
        <v>1.77</v>
      </c>
      <c r="I145" s="29">
        <v>2.06</v>
      </c>
      <c r="J145" s="29">
        <v>2.71</v>
      </c>
      <c r="K145" s="29">
        <v>3.27</v>
      </c>
      <c r="L145" s="29">
        <v>4.4800000000000004</v>
      </c>
      <c r="M145" s="29">
        <v>5.5</v>
      </c>
      <c r="N145" s="44">
        <v>5.84</v>
      </c>
    </row>
    <row r="146" spans="1:14" x14ac:dyDescent="0.25">
      <c r="A146" s="171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72"/>
    </row>
    <row r="147" spans="1:14" ht="18.75" x14ac:dyDescent="0.25">
      <c r="A147" s="173" t="s">
        <v>309</v>
      </c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74"/>
    </row>
    <row r="148" spans="1:14" x14ac:dyDescent="0.25">
      <c r="A148" s="175" t="s">
        <v>292</v>
      </c>
      <c r="B148" s="150" t="s">
        <v>293</v>
      </c>
      <c r="C148" s="150" t="s">
        <v>1</v>
      </c>
      <c r="D148" s="150" t="s">
        <v>2</v>
      </c>
      <c r="E148" s="150" t="s">
        <v>310</v>
      </c>
      <c r="F148" s="150"/>
      <c r="G148" s="150"/>
      <c r="H148" s="150"/>
      <c r="I148" s="30"/>
      <c r="J148" s="30"/>
      <c r="K148" s="30"/>
      <c r="L148" s="30"/>
      <c r="M148" s="30"/>
      <c r="N148" s="42"/>
    </row>
    <row r="149" spans="1:14" x14ac:dyDescent="0.25">
      <c r="A149" s="175"/>
      <c r="B149" s="150"/>
      <c r="C149" s="150"/>
      <c r="D149" s="150"/>
      <c r="E149" s="30" t="s">
        <v>292</v>
      </c>
      <c r="F149" s="30" t="s">
        <v>293</v>
      </c>
      <c r="G149" s="30" t="s">
        <v>1</v>
      </c>
      <c r="H149" s="30" t="s">
        <v>2</v>
      </c>
      <c r="I149" s="30"/>
      <c r="J149" s="30"/>
      <c r="K149" s="30"/>
      <c r="L149" s="30"/>
      <c r="M149" s="30"/>
      <c r="N149" s="42"/>
    </row>
    <row r="150" spans="1:14" x14ac:dyDescent="0.25">
      <c r="A150" s="15" t="s">
        <v>101</v>
      </c>
      <c r="B150" s="5" t="s">
        <v>102</v>
      </c>
      <c r="C150" s="29">
        <v>-27.6</v>
      </c>
      <c r="D150" s="29">
        <v>-51.33</v>
      </c>
      <c r="E150" s="6"/>
      <c r="F150" s="70"/>
      <c r="G150" s="6"/>
      <c r="H150" s="6"/>
      <c r="I150" s="35"/>
      <c r="J150" s="35"/>
      <c r="K150" s="35"/>
      <c r="L150" s="35"/>
      <c r="M150" s="35"/>
      <c r="N150" s="46"/>
    </row>
    <row r="151" spans="1:14" x14ac:dyDescent="0.25">
      <c r="A151" s="171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72"/>
    </row>
    <row r="152" spans="1:14" ht="18.75" x14ac:dyDescent="0.25">
      <c r="A152" s="173" t="s">
        <v>311</v>
      </c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74"/>
    </row>
    <row r="153" spans="1:14" x14ac:dyDescent="0.25">
      <c r="A153" s="175" t="s">
        <v>292</v>
      </c>
      <c r="B153" s="150" t="s">
        <v>293</v>
      </c>
      <c r="C153" s="151" t="s">
        <v>312</v>
      </c>
      <c r="D153" s="152"/>
      <c r="E153" s="152"/>
      <c r="F153" s="153"/>
      <c r="G153" s="151" t="s">
        <v>313</v>
      </c>
      <c r="H153" s="152"/>
      <c r="I153" s="152"/>
      <c r="J153" s="153"/>
      <c r="K153" s="30"/>
      <c r="L153" s="30"/>
      <c r="M153" s="30"/>
      <c r="N153" s="42"/>
    </row>
    <row r="154" spans="1:14" x14ac:dyDescent="0.25">
      <c r="A154" s="175"/>
      <c r="B154" s="150"/>
      <c r="C154" s="154"/>
      <c r="D154" s="155"/>
      <c r="E154" s="155"/>
      <c r="F154" s="156"/>
      <c r="G154" s="154"/>
      <c r="H154" s="155"/>
      <c r="I154" s="155"/>
      <c r="J154" s="156"/>
      <c r="K154" s="30"/>
      <c r="L154" s="30"/>
      <c r="M154" s="30"/>
      <c r="N154" s="42"/>
    </row>
    <row r="155" spans="1:14" ht="15.75" thickBot="1" x14ac:dyDescent="0.3">
      <c r="A155" s="49"/>
      <c r="B155" s="50"/>
      <c r="C155" s="177"/>
      <c r="D155" s="177"/>
      <c r="E155" s="177"/>
      <c r="F155" s="177"/>
      <c r="G155" s="177"/>
      <c r="H155" s="177"/>
      <c r="I155" s="177"/>
      <c r="J155" s="177"/>
      <c r="K155" s="51"/>
      <c r="L155" s="51"/>
      <c r="M155" s="51"/>
      <c r="N155" s="52"/>
    </row>
    <row r="156" spans="1:14" ht="16.5" thickTop="1" thickBot="1" x14ac:dyDescent="0.3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</row>
    <row r="157" spans="1:14" ht="19.5" thickTop="1" x14ac:dyDescent="0.25">
      <c r="A157" s="178" t="s">
        <v>429</v>
      </c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80"/>
    </row>
    <row r="158" spans="1:14" x14ac:dyDescent="0.25">
      <c r="A158" s="171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72"/>
    </row>
    <row r="159" spans="1:14" ht="18.75" x14ac:dyDescent="0.25">
      <c r="A159" s="173" t="s">
        <v>291</v>
      </c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74"/>
    </row>
    <row r="160" spans="1:14" x14ac:dyDescent="0.25">
      <c r="A160" s="175" t="s">
        <v>292</v>
      </c>
      <c r="B160" s="150" t="s">
        <v>293</v>
      </c>
      <c r="C160" s="157" t="s">
        <v>294</v>
      </c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76"/>
    </row>
    <row r="161" spans="1:14" x14ac:dyDescent="0.25">
      <c r="A161" s="175"/>
      <c r="B161" s="150"/>
      <c r="C161" s="30" t="s">
        <v>295</v>
      </c>
      <c r="D161" s="30" t="s">
        <v>296</v>
      </c>
      <c r="E161" s="30" t="s">
        <v>297</v>
      </c>
      <c r="F161" s="30" t="s">
        <v>298</v>
      </c>
      <c r="G161" s="30" t="s">
        <v>299</v>
      </c>
      <c r="H161" s="30" t="s">
        <v>300</v>
      </c>
      <c r="I161" s="30" t="s">
        <v>301</v>
      </c>
      <c r="J161" s="30" t="s">
        <v>302</v>
      </c>
      <c r="K161" s="30" t="s">
        <v>303</v>
      </c>
      <c r="L161" s="30" t="s">
        <v>304</v>
      </c>
      <c r="M161" s="30" t="s">
        <v>305</v>
      </c>
      <c r="N161" s="42" t="s">
        <v>306</v>
      </c>
    </row>
    <row r="162" spans="1:14" x14ac:dyDescent="0.25">
      <c r="A162" s="38">
        <v>217</v>
      </c>
      <c r="B162" s="5" t="s">
        <v>108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43"/>
    </row>
    <row r="163" spans="1:14" x14ac:dyDescent="0.25">
      <c r="A163" s="171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72"/>
    </row>
    <row r="164" spans="1:14" x14ac:dyDescent="0.25">
      <c r="A164" s="175" t="s">
        <v>292</v>
      </c>
      <c r="B164" s="150" t="s">
        <v>293</v>
      </c>
      <c r="C164" s="157" t="s">
        <v>308</v>
      </c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76"/>
    </row>
    <row r="165" spans="1:14" x14ac:dyDescent="0.25">
      <c r="A165" s="175"/>
      <c r="B165" s="150"/>
      <c r="C165" s="30" t="s">
        <v>295</v>
      </c>
      <c r="D165" s="30" t="s">
        <v>296</v>
      </c>
      <c r="E165" s="30" t="s">
        <v>297</v>
      </c>
      <c r="F165" s="30" t="s">
        <v>298</v>
      </c>
      <c r="G165" s="30" t="s">
        <v>299</v>
      </c>
      <c r="H165" s="30" t="s">
        <v>300</v>
      </c>
      <c r="I165" s="30" t="s">
        <v>301</v>
      </c>
      <c r="J165" s="30" t="s">
        <v>302</v>
      </c>
      <c r="K165" s="30" t="s">
        <v>303</v>
      </c>
      <c r="L165" s="30" t="s">
        <v>304</v>
      </c>
      <c r="M165" s="30" t="s">
        <v>305</v>
      </c>
      <c r="N165" s="42" t="s">
        <v>306</v>
      </c>
    </row>
    <row r="166" spans="1:14" x14ac:dyDescent="0.25">
      <c r="A166" s="38">
        <v>217</v>
      </c>
      <c r="B166" s="5" t="s">
        <v>108</v>
      </c>
      <c r="C166" s="29">
        <v>6.23</v>
      </c>
      <c r="D166" s="29">
        <v>5.64</v>
      </c>
      <c r="E166" s="29">
        <v>4.74</v>
      </c>
      <c r="F166" s="29">
        <v>3.6</v>
      </c>
      <c r="G166" s="29">
        <v>2.52</v>
      </c>
      <c r="H166" s="29">
        <v>1.87</v>
      </c>
      <c r="I166" s="29">
        <v>2.23</v>
      </c>
      <c r="J166" s="29">
        <v>2.9</v>
      </c>
      <c r="K166" s="29">
        <v>3.53</v>
      </c>
      <c r="L166" s="29">
        <v>4.7699999999999996</v>
      </c>
      <c r="M166" s="29">
        <v>6.03</v>
      </c>
      <c r="N166" s="44">
        <v>6.03</v>
      </c>
    </row>
    <row r="167" spans="1:14" x14ac:dyDescent="0.25">
      <c r="A167" s="171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72"/>
    </row>
    <row r="168" spans="1:14" ht="18.75" x14ac:dyDescent="0.25">
      <c r="A168" s="173" t="s">
        <v>309</v>
      </c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74"/>
    </row>
    <row r="169" spans="1:14" x14ac:dyDescent="0.25">
      <c r="A169" s="175" t="s">
        <v>292</v>
      </c>
      <c r="B169" s="150" t="s">
        <v>293</v>
      </c>
      <c r="C169" s="150" t="s">
        <v>1</v>
      </c>
      <c r="D169" s="150" t="s">
        <v>2</v>
      </c>
      <c r="E169" s="150" t="s">
        <v>310</v>
      </c>
      <c r="F169" s="150"/>
      <c r="G169" s="150"/>
      <c r="H169" s="150"/>
      <c r="I169" s="30"/>
      <c r="J169" s="30"/>
      <c r="K169" s="30"/>
      <c r="L169" s="30"/>
      <c r="M169" s="30"/>
      <c r="N169" s="42"/>
    </row>
    <row r="170" spans="1:14" x14ac:dyDescent="0.25">
      <c r="A170" s="175"/>
      <c r="B170" s="150"/>
      <c r="C170" s="150"/>
      <c r="D170" s="150"/>
      <c r="E170" s="30" t="s">
        <v>292</v>
      </c>
      <c r="F170" s="30" t="s">
        <v>293</v>
      </c>
      <c r="G170" s="30" t="s">
        <v>1</v>
      </c>
      <c r="H170" s="30" t="s">
        <v>2</v>
      </c>
      <c r="I170" s="30"/>
      <c r="J170" s="30"/>
      <c r="K170" s="30"/>
      <c r="L170" s="30"/>
      <c r="M170" s="30"/>
      <c r="N170" s="42"/>
    </row>
    <row r="171" spans="1:14" x14ac:dyDescent="0.25">
      <c r="A171" s="15" t="s">
        <v>107</v>
      </c>
      <c r="B171" s="5" t="s">
        <v>108</v>
      </c>
      <c r="C171" s="29">
        <v>-27.52</v>
      </c>
      <c r="D171" s="29">
        <v>-51.78</v>
      </c>
      <c r="E171" s="6"/>
      <c r="F171" s="70"/>
      <c r="G171" s="6"/>
      <c r="H171" s="6"/>
      <c r="I171" s="35"/>
      <c r="J171" s="35"/>
      <c r="K171" s="35"/>
      <c r="L171" s="35"/>
      <c r="M171" s="35"/>
      <c r="N171" s="46"/>
    </row>
    <row r="172" spans="1:14" x14ac:dyDescent="0.25">
      <c r="A172" s="171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72"/>
    </row>
    <row r="173" spans="1:14" ht="18.75" x14ac:dyDescent="0.25">
      <c r="A173" s="173" t="s">
        <v>311</v>
      </c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74"/>
    </row>
    <row r="174" spans="1:14" x14ac:dyDescent="0.25">
      <c r="A174" s="175" t="s">
        <v>292</v>
      </c>
      <c r="B174" s="150" t="s">
        <v>293</v>
      </c>
      <c r="C174" s="151" t="s">
        <v>312</v>
      </c>
      <c r="D174" s="152"/>
      <c r="E174" s="152"/>
      <c r="F174" s="153"/>
      <c r="G174" s="151" t="s">
        <v>313</v>
      </c>
      <c r="H174" s="152"/>
      <c r="I174" s="152"/>
      <c r="J174" s="153"/>
      <c r="K174" s="30"/>
      <c r="L174" s="30"/>
      <c r="M174" s="30"/>
      <c r="N174" s="42"/>
    </row>
    <row r="175" spans="1:14" x14ac:dyDescent="0.25">
      <c r="A175" s="175"/>
      <c r="B175" s="150"/>
      <c r="C175" s="154"/>
      <c r="D175" s="155"/>
      <c r="E175" s="155"/>
      <c r="F175" s="156"/>
      <c r="G175" s="154"/>
      <c r="H175" s="155"/>
      <c r="I175" s="155"/>
      <c r="J175" s="156"/>
      <c r="K175" s="30"/>
      <c r="L175" s="30"/>
      <c r="M175" s="30"/>
      <c r="N175" s="42"/>
    </row>
    <row r="176" spans="1:14" ht="15.75" thickBot="1" x14ac:dyDescent="0.3">
      <c r="A176" s="49"/>
      <c r="B176" s="50"/>
      <c r="C176" s="177"/>
      <c r="D176" s="177"/>
      <c r="E176" s="177"/>
      <c r="F176" s="177"/>
      <c r="G176" s="177"/>
      <c r="H176" s="177"/>
      <c r="I176" s="177"/>
      <c r="J176" s="177"/>
      <c r="K176" s="51"/>
      <c r="L176" s="51"/>
      <c r="M176" s="51"/>
      <c r="N176" s="52"/>
    </row>
    <row r="177" spans="1:14" ht="16.5" thickTop="1" thickBot="1" x14ac:dyDescent="0.3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</row>
    <row r="178" spans="1:14" ht="19.5" thickTop="1" x14ac:dyDescent="0.25">
      <c r="A178" s="178" t="s">
        <v>430</v>
      </c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80"/>
    </row>
    <row r="179" spans="1:14" x14ac:dyDescent="0.25">
      <c r="A179" s="171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72"/>
    </row>
    <row r="180" spans="1:14" ht="18.75" x14ac:dyDescent="0.25">
      <c r="A180" s="173" t="s">
        <v>291</v>
      </c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74"/>
    </row>
    <row r="181" spans="1:14" x14ac:dyDescent="0.25">
      <c r="A181" s="175" t="s">
        <v>292</v>
      </c>
      <c r="B181" s="150" t="s">
        <v>293</v>
      </c>
      <c r="C181" s="157" t="s">
        <v>294</v>
      </c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76"/>
    </row>
    <row r="182" spans="1:14" x14ac:dyDescent="0.25">
      <c r="A182" s="175"/>
      <c r="B182" s="150"/>
      <c r="C182" s="30" t="s">
        <v>295</v>
      </c>
      <c r="D182" s="30" t="s">
        <v>296</v>
      </c>
      <c r="E182" s="30" t="s">
        <v>297</v>
      </c>
      <c r="F182" s="30" t="s">
        <v>298</v>
      </c>
      <c r="G182" s="30" t="s">
        <v>299</v>
      </c>
      <c r="H182" s="30" t="s">
        <v>300</v>
      </c>
      <c r="I182" s="30" t="s">
        <v>301</v>
      </c>
      <c r="J182" s="30" t="s">
        <v>302</v>
      </c>
      <c r="K182" s="30" t="s">
        <v>303</v>
      </c>
      <c r="L182" s="30" t="s">
        <v>304</v>
      </c>
      <c r="M182" s="30" t="s">
        <v>305</v>
      </c>
      <c r="N182" s="42" t="s">
        <v>306</v>
      </c>
    </row>
    <row r="183" spans="1:14" x14ac:dyDescent="0.25">
      <c r="A183" s="38">
        <v>92</v>
      </c>
      <c r="B183" s="5" t="s">
        <v>106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43"/>
    </row>
    <row r="184" spans="1:14" x14ac:dyDescent="0.25">
      <c r="A184" s="171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72"/>
    </row>
    <row r="185" spans="1:14" x14ac:dyDescent="0.25">
      <c r="A185" s="175" t="s">
        <v>292</v>
      </c>
      <c r="B185" s="150" t="s">
        <v>293</v>
      </c>
      <c r="C185" s="157" t="s">
        <v>308</v>
      </c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76"/>
    </row>
    <row r="186" spans="1:14" x14ac:dyDescent="0.25">
      <c r="A186" s="175"/>
      <c r="B186" s="150"/>
      <c r="C186" s="30" t="s">
        <v>295</v>
      </c>
      <c r="D186" s="30" t="s">
        <v>296</v>
      </c>
      <c r="E186" s="30" t="s">
        <v>297</v>
      </c>
      <c r="F186" s="30" t="s">
        <v>298</v>
      </c>
      <c r="G186" s="30" t="s">
        <v>299</v>
      </c>
      <c r="H186" s="30" t="s">
        <v>300</v>
      </c>
      <c r="I186" s="30" t="s">
        <v>301</v>
      </c>
      <c r="J186" s="30" t="s">
        <v>302</v>
      </c>
      <c r="K186" s="30" t="s">
        <v>303</v>
      </c>
      <c r="L186" s="30" t="s">
        <v>304</v>
      </c>
      <c r="M186" s="30" t="s">
        <v>305</v>
      </c>
      <c r="N186" s="42" t="s">
        <v>306</v>
      </c>
    </row>
    <row r="187" spans="1:14" x14ac:dyDescent="0.25">
      <c r="A187" s="38">
        <v>92</v>
      </c>
      <c r="B187" s="5" t="s">
        <v>106</v>
      </c>
      <c r="C187" s="29">
        <v>6.42</v>
      </c>
      <c r="D187" s="29">
        <v>5.79</v>
      </c>
      <c r="E187" s="29">
        <v>4.84</v>
      </c>
      <c r="F187" s="29">
        <v>3.6</v>
      </c>
      <c r="G187" s="29">
        <v>2.42</v>
      </c>
      <c r="H187" s="29">
        <v>1.83</v>
      </c>
      <c r="I187" s="29">
        <v>2.16</v>
      </c>
      <c r="J187" s="29">
        <v>2.9</v>
      </c>
      <c r="K187" s="29">
        <v>3.57</v>
      </c>
      <c r="L187" s="29">
        <v>4.9000000000000004</v>
      </c>
      <c r="M187" s="29">
        <v>6.07</v>
      </c>
      <c r="N187" s="44">
        <v>6.32</v>
      </c>
    </row>
    <row r="188" spans="1:14" x14ac:dyDescent="0.25">
      <c r="A188" s="171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72"/>
    </row>
    <row r="189" spans="1:14" ht="18.75" x14ac:dyDescent="0.25">
      <c r="A189" s="173" t="s">
        <v>309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4"/>
    </row>
    <row r="190" spans="1:14" x14ac:dyDescent="0.25">
      <c r="A190" s="175" t="s">
        <v>292</v>
      </c>
      <c r="B190" s="150" t="s">
        <v>293</v>
      </c>
      <c r="C190" s="150" t="s">
        <v>1</v>
      </c>
      <c r="D190" s="150" t="s">
        <v>2</v>
      </c>
      <c r="E190" s="150" t="s">
        <v>310</v>
      </c>
      <c r="F190" s="150"/>
      <c r="G190" s="150"/>
      <c r="H190" s="150"/>
      <c r="I190" s="30"/>
      <c r="J190" s="30"/>
      <c r="K190" s="30"/>
      <c r="L190" s="30"/>
      <c r="M190" s="30"/>
      <c r="N190" s="42"/>
    </row>
    <row r="191" spans="1:14" x14ac:dyDescent="0.25">
      <c r="A191" s="175"/>
      <c r="B191" s="150"/>
      <c r="C191" s="150"/>
      <c r="D191" s="150"/>
      <c r="E191" s="30" t="s">
        <v>292</v>
      </c>
      <c r="F191" s="30" t="s">
        <v>293</v>
      </c>
      <c r="G191" s="30" t="s">
        <v>1</v>
      </c>
      <c r="H191" s="30" t="s">
        <v>2</v>
      </c>
      <c r="I191" s="30"/>
      <c r="J191" s="30"/>
      <c r="K191" s="30"/>
      <c r="L191" s="30"/>
      <c r="M191" s="30"/>
      <c r="N191" s="42"/>
    </row>
    <row r="192" spans="1:14" x14ac:dyDescent="0.25">
      <c r="A192" s="15" t="s">
        <v>105</v>
      </c>
      <c r="B192" s="5" t="s">
        <v>106</v>
      </c>
      <c r="C192" s="29">
        <v>-27.27</v>
      </c>
      <c r="D192" s="29">
        <v>-52.38</v>
      </c>
      <c r="E192" s="6"/>
      <c r="F192" s="70"/>
      <c r="G192" s="6"/>
      <c r="H192" s="6"/>
      <c r="I192" s="35"/>
      <c r="J192" s="35"/>
      <c r="K192" s="35"/>
      <c r="L192" s="35"/>
      <c r="M192" s="35"/>
      <c r="N192" s="46"/>
    </row>
    <row r="193" spans="1:14" x14ac:dyDescent="0.25">
      <c r="A193" s="171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72"/>
    </row>
    <row r="194" spans="1:14" ht="18.75" x14ac:dyDescent="0.25">
      <c r="A194" s="173" t="s">
        <v>311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4"/>
    </row>
    <row r="195" spans="1:14" x14ac:dyDescent="0.25">
      <c r="A195" s="175" t="s">
        <v>292</v>
      </c>
      <c r="B195" s="150" t="s">
        <v>293</v>
      </c>
      <c r="C195" s="151" t="s">
        <v>312</v>
      </c>
      <c r="D195" s="152"/>
      <c r="E195" s="152"/>
      <c r="F195" s="153"/>
      <c r="G195" s="151" t="s">
        <v>313</v>
      </c>
      <c r="H195" s="152"/>
      <c r="I195" s="152"/>
      <c r="J195" s="153"/>
      <c r="K195" s="30"/>
      <c r="L195" s="30"/>
      <c r="M195" s="30"/>
      <c r="N195" s="42"/>
    </row>
    <row r="196" spans="1:14" x14ac:dyDescent="0.25">
      <c r="A196" s="175"/>
      <c r="B196" s="150"/>
      <c r="C196" s="154"/>
      <c r="D196" s="155"/>
      <c r="E196" s="155"/>
      <c r="F196" s="156"/>
      <c r="G196" s="154"/>
      <c r="H196" s="155"/>
      <c r="I196" s="155"/>
      <c r="J196" s="156"/>
      <c r="K196" s="30"/>
      <c r="L196" s="30"/>
      <c r="M196" s="30"/>
      <c r="N196" s="42"/>
    </row>
    <row r="197" spans="1:14" ht="15.75" thickBot="1" x14ac:dyDescent="0.3">
      <c r="A197" s="49"/>
      <c r="B197" s="50"/>
      <c r="C197" s="177"/>
      <c r="D197" s="177"/>
      <c r="E197" s="177"/>
      <c r="F197" s="177"/>
      <c r="G197" s="177"/>
      <c r="H197" s="177"/>
      <c r="I197" s="177"/>
      <c r="J197" s="177"/>
      <c r="K197" s="51"/>
      <c r="L197" s="51"/>
      <c r="M197" s="51"/>
      <c r="N197" s="52"/>
    </row>
    <row r="198" spans="1:14" ht="16.5" thickTop="1" thickBot="1" x14ac:dyDescent="0.3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</row>
    <row r="199" spans="1:14" ht="19.5" thickTop="1" x14ac:dyDescent="0.25">
      <c r="A199" s="178" t="s">
        <v>431</v>
      </c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80"/>
    </row>
    <row r="200" spans="1:14" x14ac:dyDescent="0.25">
      <c r="A200" s="171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72"/>
    </row>
    <row r="201" spans="1:14" ht="18.75" x14ac:dyDescent="0.25">
      <c r="A201" s="173" t="s">
        <v>291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4"/>
    </row>
    <row r="202" spans="1:14" x14ac:dyDescent="0.25">
      <c r="A202" s="175" t="s">
        <v>292</v>
      </c>
      <c r="B202" s="150" t="s">
        <v>293</v>
      </c>
      <c r="C202" s="157" t="s">
        <v>294</v>
      </c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76"/>
    </row>
    <row r="203" spans="1:14" x14ac:dyDescent="0.25">
      <c r="A203" s="175"/>
      <c r="B203" s="150"/>
      <c r="C203" s="30" t="s">
        <v>295</v>
      </c>
      <c r="D203" s="30" t="s">
        <v>296</v>
      </c>
      <c r="E203" s="30" t="s">
        <v>297</v>
      </c>
      <c r="F203" s="30" t="s">
        <v>298</v>
      </c>
      <c r="G203" s="30" t="s">
        <v>299</v>
      </c>
      <c r="H203" s="30" t="s">
        <v>300</v>
      </c>
      <c r="I203" s="30" t="s">
        <v>301</v>
      </c>
      <c r="J203" s="30" t="s">
        <v>302</v>
      </c>
      <c r="K203" s="30" t="s">
        <v>303</v>
      </c>
      <c r="L203" s="30" t="s">
        <v>304</v>
      </c>
      <c r="M203" s="30" t="s">
        <v>305</v>
      </c>
      <c r="N203" s="42" t="s">
        <v>306</v>
      </c>
    </row>
    <row r="204" spans="1:14" x14ac:dyDescent="0.25">
      <c r="A204" s="38">
        <v>220</v>
      </c>
      <c r="B204" s="5" t="s">
        <v>110</v>
      </c>
      <c r="C204" s="6">
        <v>0.41399999999999998</v>
      </c>
      <c r="D204" s="6">
        <v>0.41399999999999998</v>
      </c>
      <c r="E204" s="6">
        <v>0.41399999999999998</v>
      </c>
      <c r="F204" s="6">
        <v>0.41399999999999998</v>
      </c>
      <c r="G204" s="6">
        <v>0.41399999999999998</v>
      </c>
      <c r="H204" s="6">
        <v>0.41399999999999998</v>
      </c>
      <c r="I204" s="6">
        <v>0.41399999999999998</v>
      </c>
      <c r="J204" s="6">
        <v>0.41399999999999998</v>
      </c>
      <c r="K204" s="6">
        <v>0.41399999999999998</v>
      </c>
      <c r="L204" s="6">
        <v>0.41399999999999998</v>
      </c>
      <c r="M204" s="6">
        <v>0.41399999999999998</v>
      </c>
      <c r="N204" s="43">
        <v>0.41399999999999998</v>
      </c>
    </row>
    <row r="205" spans="1:14" x14ac:dyDescent="0.25">
      <c r="A205" s="53">
        <v>93</v>
      </c>
      <c r="B205" s="3" t="s">
        <v>432</v>
      </c>
      <c r="C205" s="7">
        <v>0.58599999999999997</v>
      </c>
      <c r="D205" s="7">
        <v>0.58599999999999997</v>
      </c>
      <c r="E205" s="7">
        <v>0.58599999999999997</v>
      </c>
      <c r="F205" s="7">
        <v>0.58599999999999997</v>
      </c>
      <c r="G205" s="7">
        <v>0.58599999999999997</v>
      </c>
      <c r="H205" s="7">
        <v>0.58599999999999997</v>
      </c>
      <c r="I205" s="7">
        <v>0.58599999999999997</v>
      </c>
      <c r="J205" s="7">
        <v>0.58599999999999997</v>
      </c>
      <c r="K205" s="7">
        <v>0.58599999999999997</v>
      </c>
      <c r="L205" s="7">
        <v>0.58599999999999997</v>
      </c>
      <c r="M205" s="7">
        <v>0.58599999999999997</v>
      </c>
      <c r="N205" s="45">
        <v>0.58599999999999997</v>
      </c>
    </row>
    <row r="206" spans="1:14" x14ac:dyDescent="0.25">
      <c r="A206" s="171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72"/>
    </row>
    <row r="207" spans="1:14" x14ac:dyDescent="0.25">
      <c r="A207" s="175" t="s">
        <v>292</v>
      </c>
      <c r="B207" s="150" t="s">
        <v>293</v>
      </c>
      <c r="C207" s="157" t="s">
        <v>308</v>
      </c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76"/>
    </row>
    <row r="208" spans="1:14" x14ac:dyDescent="0.25">
      <c r="A208" s="175"/>
      <c r="B208" s="150"/>
      <c r="C208" s="30" t="s">
        <v>295</v>
      </c>
      <c r="D208" s="30" t="s">
        <v>296</v>
      </c>
      <c r="E208" s="30" t="s">
        <v>297</v>
      </c>
      <c r="F208" s="30" t="s">
        <v>298</v>
      </c>
      <c r="G208" s="30" t="s">
        <v>299</v>
      </c>
      <c r="H208" s="30" t="s">
        <v>300</v>
      </c>
      <c r="I208" s="30" t="s">
        <v>301</v>
      </c>
      <c r="J208" s="30" t="s">
        <v>302</v>
      </c>
      <c r="K208" s="30" t="s">
        <v>303</v>
      </c>
      <c r="L208" s="30" t="s">
        <v>304</v>
      </c>
      <c r="M208" s="30" t="s">
        <v>305</v>
      </c>
      <c r="N208" s="42" t="s">
        <v>306</v>
      </c>
    </row>
    <row r="209" spans="1:14" x14ac:dyDescent="0.25">
      <c r="A209" s="38">
        <v>220</v>
      </c>
      <c r="B209" s="5" t="s">
        <v>110</v>
      </c>
      <c r="C209" s="29">
        <v>6.48</v>
      </c>
      <c r="D209" s="29">
        <v>5.82</v>
      </c>
      <c r="E209" s="29">
        <v>4.84</v>
      </c>
      <c r="F209" s="29">
        <v>3.57</v>
      </c>
      <c r="G209" s="29">
        <v>2.35</v>
      </c>
      <c r="H209" s="29">
        <v>1.77</v>
      </c>
      <c r="I209" s="29">
        <v>2.06</v>
      </c>
      <c r="J209" s="29">
        <v>2.81</v>
      </c>
      <c r="K209" s="29">
        <v>3.5</v>
      </c>
      <c r="L209" s="29">
        <v>4.97</v>
      </c>
      <c r="M209" s="29">
        <v>6.07</v>
      </c>
      <c r="N209" s="44">
        <v>6.48</v>
      </c>
    </row>
    <row r="210" spans="1:14" x14ac:dyDescent="0.25">
      <c r="A210" s="171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72"/>
    </row>
    <row r="211" spans="1:14" ht="18.75" x14ac:dyDescent="0.25">
      <c r="A211" s="173" t="s">
        <v>309</v>
      </c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74"/>
    </row>
    <row r="212" spans="1:14" x14ac:dyDescent="0.25">
      <c r="A212" s="175" t="s">
        <v>292</v>
      </c>
      <c r="B212" s="150" t="s">
        <v>293</v>
      </c>
      <c r="C212" s="150" t="s">
        <v>1</v>
      </c>
      <c r="D212" s="150" t="s">
        <v>2</v>
      </c>
      <c r="E212" s="150" t="s">
        <v>310</v>
      </c>
      <c r="F212" s="150"/>
      <c r="G212" s="150"/>
      <c r="H212" s="150"/>
      <c r="I212" s="30"/>
      <c r="J212" s="30"/>
      <c r="K212" s="30"/>
      <c r="L212" s="30"/>
      <c r="M212" s="30"/>
      <c r="N212" s="42"/>
    </row>
    <row r="213" spans="1:14" x14ac:dyDescent="0.25">
      <c r="A213" s="175"/>
      <c r="B213" s="150"/>
      <c r="C213" s="150"/>
      <c r="D213" s="150"/>
      <c r="E213" s="30" t="s">
        <v>292</v>
      </c>
      <c r="F213" s="30" t="s">
        <v>293</v>
      </c>
      <c r="G213" s="30" t="s">
        <v>1</v>
      </c>
      <c r="H213" s="30" t="s">
        <v>2</v>
      </c>
      <c r="I213" s="30"/>
      <c r="J213" s="30"/>
      <c r="K213" s="30"/>
      <c r="L213" s="30"/>
      <c r="M213" s="30"/>
      <c r="N213" s="42"/>
    </row>
    <row r="214" spans="1:14" x14ac:dyDescent="0.25">
      <c r="A214" s="15" t="s">
        <v>109</v>
      </c>
      <c r="B214" s="5" t="s">
        <v>110</v>
      </c>
      <c r="C214" s="29">
        <v>-27.35</v>
      </c>
      <c r="D214" s="29">
        <v>-52.73</v>
      </c>
      <c r="E214" s="6"/>
      <c r="F214" s="70"/>
      <c r="G214" s="6"/>
      <c r="H214" s="6"/>
      <c r="I214" s="35"/>
      <c r="J214" s="35"/>
      <c r="K214" s="35"/>
      <c r="L214" s="35"/>
      <c r="M214" s="35"/>
      <c r="N214" s="46"/>
    </row>
    <row r="215" spans="1:14" x14ac:dyDescent="0.25">
      <c r="A215" s="171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72"/>
    </row>
    <row r="216" spans="1:14" ht="18.75" x14ac:dyDescent="0.25">
      <c r="A216" s="173" t="s">
        <v>311</v>
      </c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74"/>
    </row>
    <row r="217" spans="1:14" x14ac:dyDescent="0.25">
      <c r="A217" s="175" t="s">
        <v>292</v>
      </c>
      <c r="B217" s="150" t="s">
        <v>293</v>
      </c>
      <c r="C217" s="151" t="s">
        <v>312</v>
      </c>
      <c r="D217" s="152"/>
      <c r="E217" s="152"/>
      <c r="F217" s="153"/>
      <c r="G217" s="151" t="s">
        <v>313</v>
      </c>
      <c r="H217" s="152"/>
      <c r="I217" s="152"/>
      <c r="J217" s="153"/>
      <c r="K217" s="30"/>
      <c r="L217" s="30"/>
      <c r="M217" s="30"/>
      <c r="N217" s="42"/>
    </row>
    <row r="218" spans="1:14" x14ac:dyDescent="0.25">
      <c r="A218" s="175"/>
      <c r="B218" s="150"/>
      <c r="C218" s="154"/>
      <c r="D218" s="155"/>
      <c r="E218" s="155"/>
      <c r="F218" s="156"/>
      <c r="G218" s="154"/>
      <c r="H218" s="155"/>
      <c r="I218" s="155"/>
      <c r="J218" s="156"/>
      <c r="K218" s="30"/>
      <c r="L218" s="30"/>
      <c r="M218" s="30"/>
      <c r="N218" s="42"/>
    </row>
    <row r="219" spans="1:14" ht="15.75" thickBot="1" x14ac:dyDescent="0.3">
      <c r="A219" s="49"/>
      <c r="B219" s="50"/>
      <c r="C219" s="177"/>
      <c r="D219" s="177"/>
      <c r="E219" s="177"/>
      <c r="F219" s="177"/>
      <c r="G219" s="177"/>
      <c r="H219" s="177"/>
      <c r="I219" s="177"/>
      <c r="J219" s="177"/>
      <c r="K219" s="51"/>
      <c r="L219" s="51"/>
      <c r="M219" s="51"/>
      <c r="N219" s="52"/>
    </row>
    <row r="220" spans="1:14" ht="15.75" thickTop="1" x14ac:dyDescent="0.25">
      <c r="A220" s="197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9"/>
    </row>
    <row r="221" spans="1:14" ht="18.75" x14ac:dyDescent="0.25">
      <c r="A221" s="168" t="s">
        <v>433</v>
      </c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70"/>
    </row>
    <row r="222" spans="1:14" x14ac:dyDescent="0.25">
      <c r="A222" s="171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72"/>
    </row>
    <row r="223" spans="1:14" ht="18.75" x14ac:dyDescent="0.25">
      <c r="A223" s="173" t="s">
        <v>291</v>
      </c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74"/>
    </row>
    <row r="224" spans="1:14" x14ac:dyDescent="0.25">
      <c r="A224" s="175" t="s">
        <v>292</v>
      </c>
      <c r="B224" s="150" t="s">
        <v>293</v>
      </c>
      <c r="C224" s="157" t="s">
        <v>294</v>
      </c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76"/>
    </row>
    <row r="225" spans="1:14" x14ac:dyDescent="0.25">
      <c r="A225" s="175"/>
      <c r="B225" s="150"/>
      <c r="C225" s="30" t="s">
        <v>295</v>
      </c>
      <c r="D225" s="30" t="s">
        <v>296</v>
      </c>
      <c r="E225" s="30" t="s">
        <v>297</v>
      </c>
      <c r="F225" s="30" t="s">
        <v>298</v>
      </c>
      <c r="G225" s="30" t="s">
        <v>299</v>
      </c>
      <c r="H225" s="30" t="s">
        <v>300</v>
      </c>
      <c r="I225" s="30" t="s">
        <v>301</v>
      </c>
      <c r="J225" s="30" t="s">
        <v>302</v>
      </c>
      <c r="K225" s="30" t="s">
        <v>303</v>
      </c>
      <c r="L225" s="30" t="s">
        <v>304</v>
      </c>
      <c r="M225" s="30" t="s">
        <v>305</v>
      </c>
      <c r="N225" s="42" t="s">
        <v>306</v>
      </c>
    </row>
    <row r="226" spans="1:14" x14ac:dyDescent="0.25">
      <c r="A226" s="38">
        <v>94</v>
      </c>
      <c r="B226" s="5" t="s">
        <v>434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43"/>
    </row>
    <row r="227" spans="1:14" x14ac:dyDescent="0.25">
      <c r="A227" s="171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72"/>
    </row>
    <row r="228" spans="1:14" x14ac:dyDescent="0.25">
      <c r="A228" s="175" t="s">
        <v>292</v>
      </c>
      <c r="B228" s="150" t="s">
        <v>293</v>
      </c>
      <c r="C228" s="157" t="s">
        <v>308</v>
      </c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76"/>
    </row>
    <row r="229" spans="1:14" x14ac:dyDescent="0.25">
      <c r="A229" s="175"/>
      <c r="B229" s="150"/>
      <c r="C229" s="30" t="s">
        <v>295</v>
      </c>
      <c r="D229" s="30" t="s">
        <v>296</v>
      </c>
      <c r="E229" s="30" t="s">
        <v>297</v>
      </c>
      <c r="F229" s="30" t="s">
        <v>298</v>
      </c>
      <c r="G229" s="30" t="s">
        <v>299</v>
      </c>
      <c r="H229" s="30" t="s">
        <v>300</v>
      </c>
      <c r="I229" s="30" t="s">
        <v>301</v>
      </c>
      <c r="J229" s="30" t="s">
        <v>302</v>
      </c>
      <c r="K229" s="30" t="s">
        <v>303</v>
      </c>
      <c r="L229" s="30" t="s">
        <v>304</v>
      </c>
      <c r="M229" s="30" t="s">
        <v>305</v>
      </c>
      <c r="N229" s="42" t="s">
        <v>306</v>
      </c>
    </row>
    <row r="230" spans="1:14" x14ac:dyDescent="0.25">
      <c r="A230" s="38">
        <v>94</v>
      </c>
      <c r="B230" s="5" t="s">
        <v>434</v>
      </c>
      <c r="C230" s="29">
        <v>6.77</v>
      </c>
      <c r="D230" s="29">
        <v>5.93</v>
      </c>
      <c r="E230" s="29">
        <v>4.84</v>
      </c>
      <c r="F230" s="29">
        <v>3.5</v>
      </c>
      <c r="G230" s="29">
        <v>2.39</v>
      </c>
      <c r="H230" s="29">
        <v>1.57</v>
      </c>
      <c r="I230" s="29">
        <v>1.87</v>
      </c>
      <c r="J230" s="29">
        <v>2.68</v>
      </c>
      <c r="K230" s="29">
        <v>3.43</v>
      </c>
      <c r="L230" s="29">
        <v>4.9400000000000004</v>
      </c>
      <c r="M230" s="29">
        <v>6.2</v>
      </c>
      <c r="N230" s="44">
        <v>6.68</v>
      </c>
    </row>
    <row r="231" spans="1:14" x14ac:dyDescent="0.25">
      <c r="A231" s="171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72"/>
    </row>
    <row r="232" spans="1:14" ht="18.75" x14ac:dyDescent="0.25">
      <c r="A232" s="173" t="s">
        <v>309</v>
      </c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74"/>
    </row>
    <row r="233" spans="1:14" x14ac:dyDescent="0.25">
      <c r="A233" s="175" t="s">
        <v>292</v>
      </c>
      <c r="B233" s="150" t="s">
        <v>293</v>
      </c>
      <c r="C233" s="150" t="s">
        <v>1</v>
      </c>
      <c r="D233" s="150" t="s">
        <v>2</v>
      </c>
      <c r="E233" s="150" t="s">
        <v>310</v>
      </c>
      <c r="F233" s="150"/>
      <c r="G233" s="150"/>
      <c r="H233" s="150"/>
      <c r="I233" s="30"/>
      <c r="J233" s="30"/>
      <c r="K233" s="30"/>
      <c r="L233" s="30"/>
      <c r="M233" s="30"/>
      <c r="N233" s="42"/>
    </row>
    <row r="234" spans="1:14" x14ac:dyDescent="0.25">
      <c r="A234" s="175"/>
      <c r="B234" s="150"/>
      <c r="C234" s="150"/>
      <c r="D234" s="150"/>
      <c r="E234" s="30" t="s">
        <v>292</v>
      </c>
      <c r="F234" s="30" t="s">
        <v>293</v>
      </c>
      <c r="G234" s="30" t="s">
        <v>1</v>
      </c>
      <c r="H234" s="30" t="s">
        <v>2</v>
      </c>
      <c r="I234" s="30"/>
      <c r="J234" s="30"/>
      <c r="K234" s="30"/>
      <c r="L234" s="30"/>
      <c r="M234" s="30"/>
      <c r="N234" s="42"/>
    </row>
    <row r="235" spans="1:14" x14ac:dyDescent="0.25">
      <c r="A235" s="15" t="s">
        <v>103</v>
      </c>
      <c r="B235" s="5" t="s">
        <v>104</v>
      </c>
      <c r="C235" s="29">
        <v>-27.14</v>
      </c>
      <c r="D235" s="29">
        <v>-53.04</v>
      </c>
      <c r="E235" s="6"/>
      <c r="F235" s="70"/>
      <c r="G235" s="6"/>
      <c r="H235" s="6"/>
      <c r="I235" s="35"/>
      <c r="J235" s="35"/>
      <c r="K235" s="35"/>
      <c r="L235" s="35"/>
      <c r="M235" s="35"/>
      <c r="N235" s="46"/>
    </row>
    <row r="236" spans="1:14" x14ac:dyDescent="0.25">
      <c r="A236" s="171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72"/>
    </row>
    <row r="237" spans="1:14" ht="18.75" x14ac:dyDescent="0.25">
      <c r="A237" s="173" t="s">
        <v>311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74"/>
    </row>
    <row r="238" spans="1:14" x14ac:dyDescent="0.25">
      <c r="A238" s="175" t="s">
        <v>292</v>
      </c>
      <c r="B238" s="150" t="s">
        <v>293</v>
      </c>
      <c r="C238" s="151" t="s">
        <v>312</v>
      </c>
      <c r="D238" s="152"/>
      <c r="E238" s="152"/>
      <c r="F238" s="153"/>
      <c r="G238" s="151" t="s">
        <v>313</v>
      </c>
      <c r="H238" s="152"/>
      <c r="I238" s="152"/>
      <c r="J238" s="153"/>
      <c r="K238" s="30"/>
      <c r="L238" s="30"/>
      <c r="M238" s="30"/>
      <c r="N238" s="42"/>
    </row>
    <row r="239" spans="1:14" x14ac:dyDescent="0.25">
      <c r="A239" s="175"/>
      <c r="B239" s="150"/>
      <c r="C239" s="154"/>
      <c r="D239" s="155"/>
      <c r="E239" s="155"/>
      <c r="F239" s="156"/>
      <c r="G239" s="154"/>
      <c r="H239" s="155"/>
      <c r="I239" s="155"/>
      <c r="J239" s="156"/>
      <c r="K239" s="30"/>
      <c r="L239" s="30"/>
      <c r="M239" s="30"/>
      <c r="N239" s="42"/>
    </row>
    <row r="240" spans="1:14" ht="15.75" thickBot="1" x14ac:dyDescent="0.3">
      <c r="A240" s="49"/>
      <c r="B240" s="50"/>
      <c r="C240" s="177"/>
      <c r="D240" s="177"/>
      <c r="E240" s="177"/>
      <c r="F240" s="177"/>
      <c r="G240" s="177"/>
      <c r="H240" s="177"/>
      <c r="I240" s="177"/>
      <c r="J240" s="177"/>
      <c r="K240" s="51"/>
      <c r="L240" s="51"/>
      <c r="M240" s="51"/>
      <c r="N240" s="52"/>
    </row>
    <row r="241" spans="1:14" ht="16.5" thickTop="1" thickBot="1" x14ac:dyDescent="0.3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</row>
    <row r="242" spans="1:14" ht="19.5" thickTop="1" x14ac:dyDescent="0.25">
      <c r="A242" s="178" t="s">
        <v>435</v>
      </c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80"/>
    </row>
    <row r="243" spans="1:14" x14ac:dyDescent="0.25">
      <c r="A243" s="171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72"/>
    </row>
    <row r="244" spans="1:14" ht="18.75" x14ac:dyDescent="0.25">
      <c r="A244" s="173" t="s">
        <v>291</v>
      </c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74"/>
    </row>
    <row r="245" spans="1:14" x14ac:dyDescent="0.25">
      <c r="A245" s="175" t="s">
        <v>292</v>
      </c>
      <c r="B245" s="150" t="s">
        <v>293</v>
      </c>
      <c r="C245" s="157" t="s">
        <v>294</v>
      </c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76"/>
    </row>
    <row r="246" spans="1:14" x14ac:dyDescent="0.25">
      <c r="A246" s="175"/>
      <c r="B246" s="150"/>
      <c r="C246" s="30" t="s">
        <v>295</v>
      </c>
      <c r="D246" s="30" t="s">
        <v>296</v>
      </c>
      <c r="E246" s="30" t="s">
        <v>297</v>
      </c>
      <c r="F246" s="30" t="s">
        <v>298</v>
      </c>
      <c r="G246" s="30" t="s">
        <v>299</v>
      </c>
      <c r="H246" s="30" t="s">
        <v>300</v>
      </c>
      <c r="I246" s="30" t="s">
        <v>301</v>
      </c>
      <c r="J246" s="30" t="s">
        <v>302</v>
      </c>
      <c r="K246" s="30" t="s">
        <v>303</v>
      </c>
      <c r="L246" s="30" t="s">
        <v>304</v>
      </c>
      <c r="M246" s="30" t="s">
        <v>305</v>
      </c>
      <c r="N246" s="42" t="s">
        <v>306</v>
      </c>
    </row>
    <row r="247" spans="1:14" x14ac:dyDescent="0.25">
      <c r="A247" s="38">
        <v>286</v>
      </c>
      <c r="B247" s="5" t="s">
        <v>436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43"/>
    </row>
    <row r="248" spans="1:14" x14ac:dyDescent="0.25">
      <c r="A248" s="171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72"/>
    </row>
    <row r="249" spans="1:14" x14ac:dyDescent="0.25">
      <c r="A249" s="175" t="s">
        <v>292</v>
      </c>
      <c r="B249" s="150" t="s">
        <v>293</v>
      </c>
      <c r="C249" s="157" t="s">
        <v>308</v>
      </c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76"/>
    </row>
    <row r="250" spans="1:14" x14ac:dyDescent="0.25">
      <c r="A250" s="175"/>
      <c r="B250" s="150"/>
      <c r="C250" s="30" t="s">
        <v>295</v>
      </c>
      <c r="D250" s="30" t="s">
        <v>296</v>
      </c>
      <c r="E250" s="30" t="s">
        <v>297</v>
      </c>
      <c r="F250" s="30" t="s">
        <v>298</v>
      </c>
      <c r="G250" s="30" t="s">
        <v>299</v>
      </c>
      <c r="H250" s="30" t="s">
        <v>300</v>
      </c>
      <c r="I250" s="30" t="s">
        <v>301</v>
      </c>
      <c r="J250" s="30" t="s">
        <v>302</v>
      </c>
      <c r="K250" s="30" t="s">
        <v>303</v>
      </c>
      <c r="L250" s="30" t="s">
        <v>304</v>
      </c>
      <c r="M250" s="30" t="s">
        <v>305</v>
      </c>
      <c r="N250" s="42" t="s">
        <v>306</v>
      </c>
    </row>
    <row r="251" spans="1:14" x14ac:dyDescent="0.25">
      <c r="A251" s="38">
        <v>286</v>
      </c>
      <c r="B251" s="5" t="s">
        <v>436</v>
      </c>
      <c r="C251" s="29">
        <v>6.23</v>
      </c>
      <c r="D251" s="29">
        <v>5.71</v>
      </c>
      <c r="E251" s="29">
        <v>4.97</v>
      </c>
      <c r="F251" s="29">
        <v>3.83</v>
      </c>
      <c r="G251" s="29">
        <v>2.68</v>
      </c>
      <c r="H251" s="29">
        <v>2.1</v>
      </c>
      <c r="I251" s="29">
        <v>2.48</v>
      </c>
      <c r="J251" s="29">
        <v>3.23</v>
      </c>
      <c r="K251" s="29">
        <v>3.83</v>
      </c>
      <c r="L251" s="29">
        <v>5.03</v>
      </c>
      <c r="M251" s="29">
        <v>6.17</v>
      </c>
      <c r="N251" s="44">
        <v>6.29</v>
      </c>
    </row>
    <row r="252" spans="1:14" x14ac:dyDescent="0.25">
      <c r="A252" s="171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72"/>
    </row>
    <row r="253" spans="1:14" ht="18.75" x14ac:dyDescent="0.25">
      <c r="A253" s="173" t="s">
        <v>309</v>
      </c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74"/>
    </row>
    <row r="254" spans="1:14" x14ac:dyDescent="0.25">
      <c r="A254" s="175" t="s">
        <v>292</v>
      </c>
      <c r="B254" s="150" t="s">
        <v>293</v>
      </c>
      <c r="C254" s="150" t="s">
        <v>1</v>
      </c>
      <c r="D254" s="150" t="s">
        <v>2</v>
      </c>
      <c r="E254" s="150" t="s">
        <v>310</v>
      </c>
      <c r="F254" s="150"/>
      <c r="G254" s="150"/>
      <c r="H254" s="150"/>
      <c r="I254" s="30"/>
      <c r="J254" s="30"/>
      <c r="K254" s="30"/>
      <c r="L254" s="30"/>
      <c r="M254" s="30"/>
      <c r="N254" s="42"/>
    </row>
    <row r="255" spans="1:14" x14ac:dyDescent="0.25">
      <c r="A255" s="175"/>
      <c r="B255" s="150"/>
      <c r="C255" s="150"/>
      <c r="D255" s="150"/>
      <c r="E255" s="30" t="s">
        <v>292</v>
      </c>
      <c r="F255" s="30" t="s">
        <v>293</v>
      </c>
      <c r="G255" s="30" t="s">
        <v>1</v>
      </c>
      <c r="H255" s="30" t="s">
        <v>2</v>
      </c>
      <c r="I255" s="30"/>
      <c r="J255" s="30"/>
      <c r="K255" s="30"/>
      <c r="L255" s="30"/>
      <c r="M255" s="30"/>
      <c r="N255" s="42"/>
    </row>
    <row r="256" spans="1:14" x14ac:dyDescent="0.25">
      <c r="A256" s="15" t="s">
        <v>111</v>
      </c>
      <c r="B256" s="5" t="s">
        <v>112</v>
      </c>
      <c r="C256" s="29">
        <v>-26.66</v>
      </c>
      <c r="D256" s="29">
        <v>-52.54</v>
      </c>
      <c r="E256" s="35"/>
      <c r="F256" s="26"/>
      <c r="G256" s="35"/>
      <c r="H256" s="35"/>
      <c r="I256" s="35"/>
      <c r="J256" s="35"/>
      <c r="K256" s="35"/>
      <c r="L256" s="35"/>
      <c r="M256" s="35"/>
      <c r="N256" s="46"/>
    </row>
    <row r="257" spans="1:14" x14ac:dyDescent="0.25">
      <c r="A257" s="171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72"/>
    </row>
    <row r="258" spans="1:14" ht="18.75" x14ac:dyDescent="0.25">
      <c r="A258" s="173" t="s">
        <v>311</v>
      </c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74"/>
    </row>
    <row r="259" spans="1:14" x14ac:dyDescent="0.25">
      <c r="A259" s="175" t="s">
        <v>292</v>
      </c>
      <c r="B259" s="150" t="s">
        <v>293</v>
      </c>
      <c r="C259" s="151" t="s">
        <v>312</v>
      </c>
      <c r="D259" s="152"/>
      <c r="E259" s="152"/>
      <c r="F259" s="153"/>
      <c r="G259" s="151" t="s">
        <v>313</v>
      </c>
      <c r="H259" s="152"/>
      <c r="I259" s="152"/>
      <c r="J259" s="153"/>
      <c r="K259" s="30"/>
      <c r="L259" s="30"/>
      <c r="M259" s="30"/>
      <c r="N259" s="42"/>
    </row>
    <row r="260" spans="1:14" x14ac:dyDescent="0.25">
      <c r="A260" s="175"/>
      <c r="B260" s="150"/>
      <c r="C260" s="154"/>
      <c r="D260" s="155"/>
      <c r="E260" s="155"/>
      <c r="F260" s="156"/>
      <c r="G260" s="154"/>
      <c r="H260" s="155"/>
      <c r="I260" s="155"/>
      <c r="J260" s="156"/>
      <c r="K260" s="30"/>
      <c r="L260" s="30"/>
      <c r="M260" s="30"/>
      <c r="N260" s="42"/>
    </row>
    <row r="261" spans="1:14" ht="15.75" thickBot="1" x14ac:dyDescent="0.3">
      <c r="A261" s="49"/>
      <c r="B261" s="50"/>
      <c r="C261" s="177"/>
      <c r="D261" s="177"/>
      <c r="E261" s="177"/>
      <c r="F261" s="177"/>
      <c r="G261" s="177"/>
      <c r="H261" s="177"/>
      <c r="I261" s="177"/>
      <c r="J261" s="177"/>
      <c r="K261" s="51"/>
      <c r="L261" s="51"/>
      <c r="M261" s="51"/>
      <c r="N261" s="52"/>
    </row>
    <row r="262" spans="1:14" ht="16.5" thickTop="1" thickBot="1" x14ac:dyDescent="0.3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</row>
    <row r="263" spans="1:14" ht="19.5" thickTop="1" x14ac:dyDescent="0.25">
      <c r="A263" s="178" t="s">
        <v>437</v>
      </c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80"/>
    </row>
    <row r="264" spans="1:14" x14ac:dyDescent="0.25">
      <c r="A264" s="171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72"/>
    </row>
    <row r="265" spans="1:14" ht="18.75" x14ac:dyDescent="0.25">
      <c r="A265" s="173" t="s">
        <v>291</v>
      </c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74"/>
    </row>
    <row r="266" spans="1:14" x14ac:dyDescent="0.25">
      <c r="A266" s="175" t="s">
        <v>292</v>
      </c>
      <c r="B266" s="150" t="s">
        <v>293</v>
      </c>
      <c r="C266" s="157" t="s">
        <v>294</v>
      </c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76"/>
    </row>
    <row r="267" spans="1:14" x14ac:dyDescent="0.25">
      <c r="A267" s="175"/>
      <c r="B267" s="150"/>
      <c r="C267" s="30" t="s">
        <v>295</v>
      </c>
      <c r="D267" s="30" t="s">
        <v>296</v>
      </c>
      <c r="E267" s="30" t="s">
        <v>297</v>
      </c>
      <c r="F267" s="30" t="s">
        <v>298</v>
      </c>
      <c r="G267" s="30" t="s">
        <v>299</v>
      </c>
      <c r="H267" s="30" t="s">
        <v>300</v>
      </c>
      <c r="I267" s="30" t="s">
        <v>301</v>
      </c>
      <c r="J267" s="30" t="s">
        <v>302</v>
      </c>
      <c r="K267" s="30" t="s">
        <v>303</v>
      </c>
      <c r="L267" s="30" t="s">
        <v>304</v>
      </c>
      <c r="M267" s="30" t="s">
        <v>305</v>
      </c>
      <c r="N267" s="42" t="s">
        <v>306</v>
      </c>
    </row>
    <row r="268" spans="1:14" x14ac:dyDescent="0.25">
      <c r="A268" s="38">
        <v>103</v>
      </c>
      <c r="B268" s="5" t="s">
        <v>114</v>
      </c>
      <c r="C268" s="6">
        <v>3.6999999999999998E-2</v>
      </c>
      <c r="D268" s="6">
        <v>3.6999999999999998E-2</v>
      </c>
      <c r="E268" s="6">
        <v>3.6999999999999998E-2</v>
      </c>
      <c r="F268" s="6">
        <v>3.6999999999999998E-2</v>
      </c>
      <c r="G268" s="6">
        <v>3.6999999999999998E-2</v>
      </c>
      <c r="H268" s="6">
        <v>3.6999999999999998E-2</v>
      </c>
      <c r="I268" s="6">
        <v>3.6999999999999998E-2</v>
      </c>
      <c r="J268" s="6">
        <v>3.6999999999999998E-2</v>
      </c>
      <c r="K268" s="6">
        <v>3.6999999999999998E-2</v>
      </c>
      <c r="L268" s="6">
        <v>3.6999999999999998E-2</v>
      </c>
      <c r="M268" s="6">
        <v>3.6999999999999998E-2</v>
      </c>
      <c r="N268" s="43">
        <v>3.6999999999999998E-2</v>
      </c>
    </row>
    <row r="269" spans="1:14" x14ac:dyDescent="0.25">
      <c r="A269" s="53">
        <v>102</v>
      </c>
      <c r="B269" s="3" t="s">
        <v>438</v>
      </c>
      <c r="C269" s="7">
        <v>0.96299999999999997</v>
      </c>
      <c r="D269" s="7">
        <v>0.96299999999999997</v>
      </c>
      <c r="E269" s="7">
        <v>0.96299999999999997</v>
      </c>
      <c r="F269" s="7">
        <v>0.96299999999999997</v>
      </c>
      <c r="G269" s="7">
        <v>0.96299999999999997</v>
      </c>
      <c r="H269" s="7">
        <v>0.96299999999999997</v>
      </c>
      <c r="I269" s="7">
        <v>0.96299999999999997</v>
      </c>
      <c r="J269" s="7">
        <v>0.96299999999999997</v>
      </c>
      <c r="K269" s="7">
        <v>0.96299999999999997</v>
      </c>
      <c r="L269" s="7">
        <v>0.96299999999999997</v>
      </c>
      <c r="M269" s="7">
        <v>0.96299999999999997</v>
      </c>
      <c r="N269" s="45">
        <v>0.96299999999999997</v>
      </c>
    </row>
    <row r="270" spans="1:14" x14ac:dyDescent="0.25">
      <c r="A270" s="171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72"/>
    </row>
    <row r="271" spans="1:14" x14ac:dyDescent="0.25">
      <c r="A271" s="175" t="s">
        <v>292</v>
      </c>
      <c r="B271" s="150" t="s">
        <v>293</v>
      </c>
      <c r="C271" s="157" t="s">
        <v>308</v>
      </c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76"/>
    </row>
    <row r="272" spans="1:14" x14ac:dyDescent="0.25">
      <c r="A272" s="175"/>
      <c r="B272" s="150"/>
      <c r="C272" s="30" t="s">
        <v>295</v>
      </c>
      <c r="D272" s="30" t="s">
        <v>296</v>
      </c>
      <c r="E272" s="30" t="s">
        <v>297</v>
      </c>
      <c r="F272" s="30" t="s">
        <v>298</v>
      </c>
      <c r="G272" s="30" t="s">
        <v>299</v>
      </c>
      <c r="H272" s="30" t="s">
        <v>300</v>
      </c>
      <c r="I272" s="30" t="s">
        <v>301</v>
      </c>
      <c r="J272" s="30" t="s">
        <v>302</v>
      </c>
      <c r="K272" s="30" t="s">
        <v>303</v>
      </c>
      <c r="L272" s="30" t="s">
        <v>304</v>
      </c>
      <c r="M272" s="30" t="s">
        <v>305</v>
      </c>
      <c r="N272" s="42" t="s">
        <v>306</v>
      </c>
    </row>
    <row r="273" spans="1:14" x14ac:dyDescent="0.25">
      <c r="A273" s="38">
        <v>103</v>
      </c>
      <c r="B273" s="5" t="s">
        <v>439</v>
      </c>
      <c r="C273" s="29">
        <v>5.05</v>
      </c>
      <c r="D273" s="29">
        <v>5.33</v>
      </c>
      <c r="E273" s="29">
        <v>4.97</v>
      </c>
      <c r="F273" s="29">
        <v>6</v>
      </c>
      <c r="G273" s="29">
        <v>4.7</v>
      </c>
      <c r="H273" s="29">
        <v>5.63</v>
      </c>
      <c r="I273" s="29">
        <v>5.26</v>
      </c>
      <c r="J273" s="29">
        <v>4.8099999999999996</v>
      </c>
      <c r="K273" s="29">
        <v>5.82</v>
      </c>
      <c r="L273" s="29">
        <v>6.38</v>
      </c>
      <c r="M273" s="29">
        <v>5.13</v>
      </c>
      <c r="N273" s="44">
        <v>5.77</v>
      </c>
    </row>
    <row r="274" spans="1:14" x14ac:dyDescent="0.25">
      <c r="A274" s="171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72"/>
    </row>
    <row r="275" spans="1:14" ht="18.75" x14ac:dyDescent="0.25">
      <c r="A275" s="173" t="s">
        <v>309</v>
      </c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74"/>
    </row>
    <row r="276" spans="1:14" x14ac:dyDescent="0.25">
      <c r="A276" s="175" t="s">
        <v>292</v>
      </c>
      <c r="B276" s="150" t="s">
        <v>293</v>
      </c>
      <c r="C276" s="150" t="s">
        <v>1</v>
      </c>
      <c r="D276" s="150" t="s">
        <v>2</v>
      </c>
      <c r="E276" s="150" t="s">
        <v>310</v>
      </c>
      <c r="F276" s="150"/>
      <c r="G276" s="150"/>
      <c r="H276" s="150"/>
      <c r="I276" s="30"/>
      <c r="J276" s="30"/>
      <c r="K276" s="30"/>
      <c r="L276" s="30"/>
      <c r="M276" s="30"/>
      <c r="N276" s="42"/>
    </row>
    <row r="277" spans="1:14" x14ac:dyDescent="0.25">
      <c r="A277" s="175"/>
      <c r="B277" s="150"/>
      <c r="C277" s="150"/>
      <c r="D277" s="150"/>
      <c r="E277" s="30" t="s">
        <v>292</v>
      </c>
      <c r="F277" s="30" t="s">
        <v>293</v>
      </c>
      <c r="G277" s="30" t="s">
        <v>1</v>
      </c>
      <c r="H277" s="30" t="s">
        <v>2</v>
      </c>
      <c r="I277" s="30"/>
      <c r="J277" s="30"/>
      <c r="K277" s="30"/>
      <c r="L277" s="30"/>
      <c r="M277" s="30"/>
      <c r="N277" s="42"/>
    </row>
    <row r="278" spans="1:14" x14ac:dyDescent="0.25">
      <c r="A278" s="15" t="s">
        <v>113</v>
      </c>
      <c r="B278" s="5" t="s">
        <v>114</v>
      </c>
      <c r="C278" s="29">
        <v>-28.14</v>
      </c>
      <c r="D278" s="29">
        <v>-55.05</v>
      </c>
      <c r="E278" s="6"/>
      <c r="F278" s="70"/>
      <c r="G278" s="6"/>
      <c r="H278" s="6"/>
      <c r="I278" s="35"/>
      <c r="J278" s="35"/>
      <c r="K278" s="35"/>
      <c r="L278" s="35"/>
      <c r="M278" s="35"/>
      <c r="N278" s="46"/>
    </row>
    <row r="279" spans="1:14" x14ac:dyDescent="0.25">
      <c r="A279" s="171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72"/>
    </row>
    <row r="280" spans="1:14" ht="18.75" x14ac:dyDescent="0.25">
      <c r="A280" s="173" t="s">
        <v>311</v>
      </c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74"/>
    </row>
    <row r="281" spans="1:14" x14ac:dyDescent="0.25">
      <c r="A281" s="175" t="s">
        <v>292</v>
      </c>
      <c r="B281" s="150" t="s">
        <v>293</v>
      </c>
      <c r="C281" s="151" t="s">
        <v>312</v>
      </c>
      <c r="D281" s="152"/>
      <c r="E281" s="152"/>
      <c r="F281" s="153"/>
      <c r="G281" s="151" t="s">
        <v>313</v>
      </c>
      <c r="H281" s="152"/>
      <c r="I281" s="152"/>
      <c r="J281" s="153"/>
      <c r="K281" s="30"/>
      <c r="L281" s="30"/>
      <c r="M281" s="30"/>
      <c r="N281" s="42"/>
    </row>
    <row r="282" spans="1:14" x14ac:dyDescent="0.25">
      <c r="A282" s="175"/>
      <c r="B282" s="150"/>
      <c r="C282" s="154"/>
      <c r="D282" s="155"/>
      <c r="E282" s="155"/>
      <c r="F282" s="156"/>
      <c r="G282" s="154"/>
      <c r="H282" s="155"/>
      <c r="I282" s="155"/>
      <c r="J282" s="156"/>
      <c r="K282" s="30"/>
      <c r="L282" s="30"/>
      <c r="M282" s="30"/>
      <c r="N282" s="42"/>
    </row>
    <row r="283" spans="1:14" ht="15.75" thickBot="1" x14ac:dyDescent="0.3">
      <c r="A283" s="49"/>
      <c r="B283" s="50"/>
      <c r="C283" s="177"/>
      <c r="D283" s="177"/>
      <c r="E283" s="177"/>
      <c r="F283" s="177"/>
      <c r="G283" s="177"/>
      <c r="H283" s="177"/>
      <c r="I283" s="177"/>
      <c r="J283" s="177"/>
      <c r="K283" s="51"/>
      <c r="L283" s="51"/>
      <c r="M283" s="51"/>
      <c r="N283" s="52"/>
    </row>
    <row r="284" spans="1:14" ht="16.5" thickTop="1" thickBot="1" x14ac:dyDescent="0.3"/>
    <row r="285" spans="1:14" ht="19.5" thickTop="1" x14ac:dyDescent="0.25">
      <c r="A285" s="178" t="s">
        <v>440</v>
      </c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80"/>
    </row>
    <row r="286" spans="1:14" x14ac:dyDescent="0.25">
      <c r="A286" s="171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72"/>
    </row>
    <row r="287" spans="1:14" ht="18.75" x14ac:dyDescent="0.25">
      <c r="A287" s="173" t="s">
        <v>291</v>
      </c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74"/>
    </row>
    <row r="288" spans="1:14" x14ac:dyDescent="0.25">
      <c r="A288" s="175" t="s">
        <v>292</v>
      </c>
      <c r="B288" s="150" t="s">
        <v>293</v>
      </c>
      <c r="C288" s="157" t="s">
        <v>294</v>
      </c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76"/>
    </row>
    <row r="289" spans="1:14" x14ac:dyDescent="0.25">
      <c r="A289" s="175"/>
      <c r="B289" s="150"/>
      <c r="C289" s="30" t="s">
        <v>295</v>
      </c>
      <c r="D289" s="30" t="s">
        <v>296</v>
      </c>
      <c r="E289" s="30" t="s">
        <v>297</v>
      </c>
      <c r="F289" s="30" t="s">
        <v>298</v>
      </c>
      <c r="G289" s="30" t="s">
        <v>299</v>
      </c>
      <c r="H289" s="30" t="s">
        <v>300</v>
      </c>
      <c r="I289" s="30" t="s">
        <v>301</v>
      </c>
      <c r="J289" s="30" t="s">
        <v>302</v>
      </c>
      <c r="K289" s="30" t="s">
        <v>303</v>
      </c>
      <c r="L289" s="30" t="s">
        <v>304</v>
      </c>
      <c r="M289" s="30" t="s">
        <v>305</v>
      </c>
      <c r="N289" s="42" t="s">
        <v>306</v>
      </c>
    </row>
    <row r="290" spans="1:14" x14ac:dyDescent="0.25">
      <c r="A290" s="87">
        <v>110</v>
      </c>
      <c r="B290" s="80" t="s">
        <v>152</v>
      </c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2"/>
    </row>
    <row r="291" spans="1:14" x14ac:dyDescent="0.25">
      <c r="A291" s="171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72"/>
    </row>
    <row r="292" spans="1:14" x14ac:dyDescent="0.25">
      <c r="A292" s="175" t="s">
        <v>292</v>
      </c>
      <c r="B292" s="150" t="s">
        <v>293</v>
      </c>
      <c r="C292" s="157" t="s">
        <v>308</v>
      </c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76"/>
    </row>
    <row r="293" spans="1:14" x14ac:dyDescent="0.25">
      <c r="A293" s="175"/>
      <c r="B293" s="150"/>
      <c r="C293" s="30" t="s">
        <v>295</v>
      </c>
      <c r="D293" s="30" t="s">
        <v>296</v>
      </c>
      <c r="E293" s="30" t="s">
        <v>297</v>
      </c>
      <c r="F293" s="30" t="s">
        <v>298</v>
      </c>
      <c r="G293" s="30" t="s">
        <v>299</v>
      </c>
      <c r="H293" s="30" t="s">
        <v>300</v>
      </c>
      <c r="I293" s="30" t="s">
        <v>301</v>
      </c>
      <c r="J293" s="30" t="s">
        <v>302</v>
      </c>
      <c r="K293" s="30" t="s">
        <v>303</v>
      </c>
      <c r="L293" s="30" t="s">
        <v>304</v>
      </c>
      <c r="M293" s="30" t="s">
        <v>305</v>
      </c>
      <c r="N293" s="42" t="s">
        <v>306</v>
      </c>
    </row>
    <row r="294" spans="1:14" x14ac:dyDescent="0.25">
      <c r="A294" s="87">
        <v>110</v>
      </c>
      <c r="B294" s="80" t="s">
        <v>152</v>
      </c>
      <c r="C294" s="91">
        <v>6.26</v>
      </c>
      <c r="D294" s="91">
        <v>5.64</v>
      </c>
      <c r="E294" s="91">
        <v>4.71</v>
      </c>
      <c r="F294" s="91">
        <v>3.57</v>
      </c>
      <c r="G294" s="91">
        <v>2.52</v>
      </c>
      <c r="H294" s="91">
        <v>1.83</v>
      </c>
      <c r="I294" s="91">
        <v>2.13</v>
      </c>
      <c r="J294" s="91">
        <v>2.84</v>
      </c>
      <c r="K294" s="91">
        <v>3.5</v>
      </c>
      <c r="L294" s="91">
        <v>4.9000000000000004</v>
      </c>
      <c r="M294" s="91">
        <v>6.07</v>
      </c>
      <c r="N294" s="92">
        <v>5.97</v>
      </c>
    </row>
    <row r="295" spans="1:14" x14ac:dyDescent="0.25">
      <c r="A295" s="194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6"/>
    </row>
    <row r="296" spans="1:14" ht="18.75" x14ac:dyDescent="0.25">
      <c r="A296" s="173" t="s">
        <v>309</v>
      </c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74"/>
    </row>
    <row r="297" spans="1:14" x14ac:dyDescent="0.25">
      <c r="A297" s="175" t="s">
        <v>292</v>
      </c>
      <c r="B297" s="150" t="s">
        <v>293</v>
      </c>
      <c r="C297" s="150" t="s">
        <v>1</v>
      </c>
      <c r="D297" s="150" t="s">
        <v>2</v>
      </c>
      <c r="E297" s="150" t="s">
        <v>310</v>
      </c>
      <c r="F297" s="150"/>
      <c r="G297" s="150"/>
      <c r="H297" s="150"/>
      <c r="I297" s="30"/>
      <c r="J297" s="30"/>
      <c r="K297" s="30"/>
      <c r="L297" s="30"/>
      <c r="M297" s="30"/>
      <c r="N297" s="42"/>
    </row>
    <row r="298" spans="1:14" x14ac:dyDescent="0.25">
      <c r="A298" s="175"/>
      <c r="B298" s="150"/>
      <c r="C298" s="150"/>
      <c r="D298" s="150"/>
      <c r="E298" s="30" t="s">
        <v>292</v>
      </c>
      <c r="F298" s="30" t="s">
        <v>293</v>
      </c>
      <c r="G298" s="30" t="s">
        <v>1</v>
      </c>
      <c r="H298" s="30" t="s">
        <v>2</v>
      </c>
      <c r="I298" s="30"/>
      <c r="J298" s="30"/>
      <c r="K298" s="30"/>
      <c r="L298" s="30"/>
      <c r="M298" s="30"/>
      <c r="N298" s="42"/>
    </row>
    <row r="299" spans="1:14" x14ac:dyDescent="0.25">
      <c r="A299" s="90" t="s">
        <v>151</v>
      </c>
      <c r="B299" s="80" t="s">
        <v>152</v>
      </c>
      <c r="C299" s="85">
        <v>-28.56</v>
      </c>
      <c r="D299" s="85">
        <v>-52.54</v>
      </c>
      <c r="E299" s="85"/>
      <c r="F299" s="85"/>
      <c r="G299" s="85"/>
      <c r="H299" s="85"/>
      <c r="I299" s="81"/>
      <c r="J299" s="81"/>
      <c r="K299" s="81"/>
      <c r="L299" s="81"/>
      <c r="M299" s="81"/>
      <c r="N299" s="111"/>
    </row>
    <row r="300" spans="1:14" x14ac:dyDescent="0.25">
      <c r="A300" s="194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6"/>
    </row>
    <row r="301" spans="1:14" ht="18.75" x14ac:dyDescent="0.25">
      <c r="A301" s="173" t="s">
        <v>311</v>
      </c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74"/>
    </row>
    <row r="302" spans="1:14" x14ac:dyDescent="0.25">
      <c r="A302" s="175" t="s">
        <v>292</v>
      </c>
      <c r="B302" s="150" t="s">
        <v>293</v>
      </c>
      <c r="C302" s="151" t="s">
        <v>312</v>
      </c>
      <c r="D302" s="152"/>
      <c r="E302" s="152"/>
      <c r="F302" s="153"/>
      <c r="G302" s="151" t="s">
        <v>313</v>
      </c>
      <c r="H302" s="152"/>
      <c r="I302" s="152"/>
      <c r="J302" s="153"/>
      <c r="K302" s="30"/>
      <c r="L302" s="30"/>
      <c r="M302" s="30"/>
      <c r="N302" s="42"/>
    </row>
    <row r="303" spans="1:14" x14ac:dyDescent="0.25">
      <c r="A303" s="175"/>
      <c r="B303" s="150"/>
      <c r="C303" s="154"/>
      <c r="D303" s="155"/>
      <c r="E303" s="155"/>
      <c r="F303" s="156"/>
      <c r="G303" s="154"/>
      <c r="H303" s="155"/>
      <c r="I303" s="155"/>
      <c r="J303" s="156"/>
      <c r="K303" s="30"/>
      <c r="L303" s="30"/>
      <c r="M303" s="30"/>
      <c r="N303" s="42"/>
    </row>
    <row r="304" spans="1:14" ht="15.75" thickBot="1" x14ac:dyDescent="0.3">
      <c r="A304" s="49"/>
      <c r="B304" s="50"/>
      <c r="C304" s="177"/>
      <c r="D304" s="177"/>
      <c r="E304" s="177"/>
      <c r="F304" s="177"/>
      <c r="G304" s="177"/>
      <c r="H304" s="177"/>
      <c r="I304" s="177"/>
      <c r="J304" s="177"/>
      <c r="K304" s="51"/>
      <c r="L304" s="51"/>
      <c r="M304" s="51"/>
      <c r="N304" s="52"/>
    </row>
    <row r="305" spans="1:14" ht="16.5" thickTop="1" thickBot="1" x14ac:dyDescent="0.3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</row>
    <row r="306" spans="1:14" ht="19.5" thickTop="1" x14ac:dyDescent="0.25">
      <c r="A306" s="178" t="s">
        <v>441</v>
      </c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80"/>
    </row>
    <row r="307" spans="1:14" x14ac:dyDescent="0.25">
      <c r="A307" s="171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72"/>
    </row>
    <row r="308" spans="1:14" ht="18.75" x14ac:dyDescent="0.25">
      <c r="A308" s="173" t="s">
        <v>291</v>
      </c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74"/>
    </row>
    <row r="309" spans="1:14" x14ac:dyDescent="0.25">
      <c r="A309" s="175" t="s">
        <v>292</v>
      </c>
      <c r="B309" s="150" t="s">
        <v>293</v>
      </c>
      <c r="C309" s="157" t="s">
        <v>294</v>
      </c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76"/>
    </row>
    <row r="310" spans="1:14" x14ac:dyDescent="0.25">
      <c r="A310" s="175"/>
      <c r="B310" s="150"/>
      <c r="C310" s="30" t="s">
        <v>295</v>
      </c>
      <c r="D310" s="30" t="s">
        <v>296</v>
      </c>
      <c r="E310" s="30" t="s">
        <v>297</v>
      </c>
      <c r="F310" s="30" t="s">
        <v>298</v>
      </c>
      <c r="G310" s="30" t="s">
        <v>299</v>
      </c>
      <c r="H310" s="30" t="s">
        <v>300</v>
      </c>
      <c r="I310" s="30" t="s">
        <v>301</v>
      </c>
      <c r="J310" s="30" t="s">
        <v>302</v>
      </c>
      <c r="K310" s="30" t="s">
        <v>303</v>
      </c>
      <c r="L310" s="30" t="s">
        <v>304</v>
      </c>
      <c r="M310" s="30" t="s">
        <v>305</v>
      </c>
      <c r="N310" s="42" t="s">
        <v>306</v>
      </c>
    </row>
    <row r="311" spans="1:14" x14ac:dyDescent="0.25">
      <c r="A311" s="87">
        <v>111</v>
      </c>
      <c r="B311" s="80" t="s">
        <v>148</v>
      </c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2"/>
    </row>
    <row r="312" spans="1:14" x14ac:dyDescent="0.25">
      <c r="A312" s="171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72"/>
    </row>
    <row r="313" spans="1:14" x14ac:dyDescent="0.25">
      <c r="A313" s="175" t="s">
        <v>292</v>
      </c>
      <c r="B313" s="150" t="s">
        <v>293</v>
      </c>
      <c r="C313" s="157" t="s">
        <v>308</v>
      </c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76"/>
    </row>
    <row r="314" spans="1:14" x14ac:dyDescent="0.25">
      <c r="A314" s="175"/>
      <c r="B314" s="150"/>
      <c r="C314" s="30" t="s">
        <v>295</v>
      </c>
      <c r="D314" s="30" t="s">
        <v>296</v>
      </c>
      <c r="E314" s="30" t="s">
        <v>297</v>
      </c>
      <c r="F314" s="30" t="s">
        <v>298</v>
      </c>
      <c r="G314" s="30" t="s">
        <v>299</v>
      </c>
      <c r="H314" s="30" t="s">
        <v>300</v>
      </c>
      <c r="I314" s="30" t="s">
        <v>301</v>
      </c>
      <c r="J314" s="30" t="s">
        <v>302</v>
      </c>
      <c r="K314" s="30" t="s">
        <v>303</v>
      </c>
      <c r="L314" s="30" t="s">
        <v>304</v>
      </c>
      <c r="M314" s="30" t="s">
        <v>305</v>
      </c>
      <c r="N314" s="42" t="s">
        <v>306</v>
      </c>
    </row>
    <row r="315" spans="1:14" x14ac:dyDescent="0.25">
      <c r="A315" s="87">
        <v>111</v>
      </c>
      <c r="B315" s="80" t="s">
        <v>148</v>
      </c>
      <c r="C315" s="91">
        <v>6.74</v>
      </c>
      <c r="D315" s="91">
        <v>5.93</v>
      </c>
      <c r="E315" s="91">
        <v>4.84</v>
      </c>
      <c r="F315" s="91">
        <v>3.53</v>
      </c>
      <c r="G315" s="91">
        <v>2.4500000000000002</v>
      </c>
      <c r="H315" s="91">
        <v>1.57</v>
      </c>
      <c r="I315" s="91">
        <v>1.9</v>
      </c>
      <c r="J315" s="91">
        <v>2.71</v>
      </c>
      <c r="K315" s="91">
        <v>3.47</v>
      </c>
      <c r="L315" s="91">
        <v>4.9400000000000004</v>
      </c>
      <c r="M315" s="91">
        <v>6.33</v>
      </c>
      <c r="N315" s="92">
        <v>6.58</v>
      </c>
    </row>
    <row r="316" spans="1:14" x14ac:dyDescent="0.25">
      <c r="A316" s="171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72"/>
    </row>
    <row r="317" spans="1:14" ht="18.75" x14ac:dyDescent="0.25">
      <c r="A317" s="173" t="s">
        <v>309</v>
      </c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74"/>
    </row>
    <row r="318" spans="1:14" x14ac:dyDescent="0.25">
      <c r="A318" s="175" t="s">
        <v>292</v>
      </c>
      <c r="B318" s="150" t="s">
        <v>293</v>
      </c>
      <c r="C318" s="150" t="s">
        <v>1</v>
      </c>
      <c r="D318" s="150" t="s">
        <v>2</v>
      </c>
      <c r="E318" s="150" t="s">
        <v>310</v>
      </c>
      <c r="F318" s="150"/>
      <c r="G318" s="150"/>
      <c r="H318" s="150"/>
      <c r="I318" s="30"/>
      <c r="J318" s="30"/>
      <c r="K318" s="30"/>
      <c r="L318" s="30"/>
      <c r="M318" s="30"/>
      <c r="N318" s="42"/>
    </row>
    <row r="319" spans="1:14" x14ac:dyDescent="0.25">
      <c r="A319" s="175"/>
      <c r="B319" s="150"/>
      <c r="C319" s="150"/>
      <c r="D319" s="150"/>
      <c r="E319" s="30" t="s">
        <v>292</v>
      </c>
      <c r="F319" s="30" t="s">
        <v>293</v>
      </c>
      <c r="G319" s="30" t="s">
        <v>1</v>
      </c>
      <c r="H319" s="30" t="s">
        <v>2</v>
      </c>
      <c r="I319" s="30"/>
      <c r="J319" s="30"/>
      <c r="K319" s="30"/>
      <c r="L319" s="30"/>
      <c r="M319" s="30"/>
      <c r="N319" s="42"/>
    </row>
    <row r="320" spans="1:14" x14ac:dyDescent="0.25">
      <c r="A320" s="90" t="s">
        <v>147</v>
      </c>
      <c r="B320" s="80" t="s">
        <v>148</v>
      </c>
      <c r="C320" s="85">
        <v>-29.02</v>
      </c>
      <c r="D320" s="85">
        <v>-53.19</v>
      </c>
      <c r="E320" s="71"/>
      <c r="F320" s="71"/>
      <c r="G320" s="71"/>
      <c r="H320" s="71"/>
      <c r="I320" s="73"/>
      <c r="J320" s="73"/>
      <c r="K320" s="73"/>
      <c r="L320" s="73"/>
      <c r="M320" s="73"/>
      <c r="N320" s="74"/>
    </row>
    <row r="321" spans="1:14" x14ac:dyDescent="0.25">
      <c r="A321" s="171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72"/>
    </row>
    <row r="322" spans="1:14" ht="18.75" x14ac:dyDescent="0.25">
      <c r="A322" s="173" t="s">
        <v>311</v>
      </c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74"/>
    </row>
    <row r="323" spans="1:14" x14ac:dyDescent="0.25">
      <c r="A323" s="175" t="s">
        <v>292</v>
      </c>
      <c r="B323" s="150" t="s">
        <v>293</v>
      </c>
      <c r="C323" s="151" t="s">
        <v>312</v>
      </c>
      <c r="D323" s="152"/>
      <c r="E323" s="152"/>
      <c r="F323" s="153"/>
      <c r="G323" s="151" t="s">
        <v>313</v>
      </c>
      <c r="H323" s="152"/>
      <c r="I323" s="152"/>
      <c r="J323" s="153"/>
      <c r="K323" s="30"/>
      <c r="L323" s="30"/>
      <c r="M323" s="30"/>
      <c r="N323" s="42"/>
    </row>
    <row r="324" spans="1:14" x14ac:dyDescent="0.25">
      <c r="A324" s="175"/>
      <c r="B324" s="150"/>
      <c r="C324" s="154"/>
      <c r="D324" s="155"/>
      <c r="E324" s="155"/>
      <c r="F324" s="156"/>
      <c r="G324" s="154"/>
      <c r="H324" s="155"/>
      <c r="I324" s="155"/>
      <c r="J324" s="156"/>
      <c r="K324" s="30"/>
      <c r="L324" s="30"/>
      <c r="M324" s="30"/>
      <c r="N324" s="42"/>
    </row>
    <row r="325" spans="1:14" ht="15.75" thickBot="1" x14ac:dyDescent="0.3">
      <c r="A325" s="49"/>
      <c r="B325" s="50"/>
      <c r="C325" s="177"/>
      <c r="D325" s="177"/>
      <c r="E325" s="177"/>
      <c r="F325" s="177"/>
      <c r="G325" s="177"/>
      <c r="H325" s="177"/>
      <c r="I325" s="177"/>
      <c r="J325" s="177"/>
      <c r="K325" s="51"/>
      <c r="L325" s="51"/>
      <c r="M325" s="51"/>
      <c r="N325" s="52"/>
    </row>
    <row r="326" spans="1:14" ht="16.5" thickTop="1" thickBot="1" x14ac:dyDescent="0.3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</row>
    <row r="327" spans="1:14" ht="19.5" thickTop="1" x14ac:dyDescent="0.25">
      <c r="A327" s="178" t="s">
        <v>442</v>
      </c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80"/>
    </row>
    <row r="328" spans="1:14" x14ac:dyDescent="0.25">
      <c r="A328" s="171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72"/>
    </row>
    <row r="329" spans="1:14" ht="18.75" x14ac:dyDescent="0.25">
      <c r="A329" s="173" t="s">
        <v>291</v>
      </c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74"/>
    </row>
    <row r="330" spans="1:14" x14ac:dyDescent="0.25">
      <c r="A330" s="175" t="s">
        <v>292</v>
      </c>
      <c r="B330" s="150" t="s">
        <v>293</v>
      </c>
      <c r="C330" s="157" t="s">
        <v>294</v>
      </c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76"/>
    </row>
    <row r="331" spans="1:14" x14ac:dyDescent="0.25">
      <c r="A331" s="175"/>
      <c r="B331" s="150"/>
      <c r="C331" s="30" t="s">
        <v>295</v>
      </c>
      <c r="D331" s="30" t="s">
        <v>296</v>
      </c>
      <c r="E331" s="30" t="s">
        <v>297</v>
      </c>
      <c r="F331" s="30" t="s">
        <v>298</v>
      </c>
      <c r="G331" s="30" t="s">
        <v>299</v>
      </c>
      <c r="H331" s="30" t="s">
        <v>300</v>
      </c>
      <c r="I331" s="30" t="s">
        <v>301</v>
      </c>
      <c r="J331" s="30" t="s">
        <v>302</v>
      </c>
      <c r="K331" s="30" t="s">
        <v>303</v>
      </c>
      <c r="L331" s="30" t="s">
        <v>304</v>
      </c>
      <c r="M331" s="30" t="s">
        <v>305</v>
      </c>
      <c r="N331" s="42" t="s">
        <v>306</v>
      </c>
    </row>
    <row r="332" spans="1:14" x14ac:dyDescent="0.25">
      <c r="A332" s="87">
        <v>112</v>
      </c>
      <c r="B332" s="80" t="s">
        <v>443</v>
      </c>
      <c r="C332" s="85">
        <v>0.02</v>
      </c>
      <c r="D332" s="85">
        <v>0.02</v>
      </c>
      <c r="E332" s="85">
        <v>0.02</v>
      </c>
      <c r="F332" s="85">
        <v>0.02</v>
      </c>
      <c r="G332" s="85">
        <v>0.02</v>
      </c>
      <c r="H332" s="85">
        <v>0.02</v>
      </c>
      <c r="I332" s="85">
        <v>0.02</v>
      </c>
      <c r="J332" s="85">
        <v>0.02</v>
      </c>
      <c r="K332" s="85">
        <v>0.02</v>
      </c>
      <c r="L332" s="85">
        <v>0.02</v>
      </c>
      <c r="M332" s="85">
        <v>0.02</v>
      </c>
      <c r="N332" s="111">
        <v>0.02</v>
      </c>
    </row>
    <row r="333" spans="1:14" x14ac:dyDescent="0.25">
      <c r="A333" s="112">
        <v>113</v>
      </c>
      <c r="B333" s="82" t="s">
        <v>444</v>
      </c>
      <c r="C333" s="113">
        <v>0.46400000000000002</v>
      </c>
      <c r="D333" s="113">
        <v>0.46400000000000002</v>
      </c>
      <c r="E333" s="113">
        <v>0.46400000000000002</v>
      </c>
      <c r="F333" s="113">
        <v>0.46400000000000002</v>
      </c>
      <c r="G333" s="113">
        <v>0.46400000000000002</v>
      </c>
      <c r="H333" s="113">
        <v>0.46400000000000002</v>
      </c>
      <c r="I333" s="113">
        <v>0.46400000000000002</v>
      </c>
      <c r="J333" s="113">
        <v>0.46400000000000002</v>
      </c>
      <c r="K333" s="113">
        <v>0.46400000000000002</v>
      </c>
      <c r="L333" s="113">
        <v>0.46400000000000002</v>
      </c>
      <c r="M333" s="113">
        <v>0.46400000000000002</v>
      </c>
      <c r="N333" s="45">
        <v>0.46400000000000002</v>
      </c>
    </row>
    <row r="334" spans="1:14" x14ac:dyDescent="0.25">
      <c r="A334" s="87">
        <v>114</v>
      </c>
      <c r="B334" s="80" t="s">
        <v>445</v>
      </c>
      <c r="C334" s="85">
        <v>0.51600000000000001</v>
      </c>
      <c r="D334" s="85">
        <v>0.51600000000000001</v>
      </c>
      <c r="E334" s="85">
        <v>0.51600000000000001</v>
      </c>
      <c r="F334" s="85">
        <v>0.51600000000000001</v>
      </c>
      <c r="G334" s="85">
        <v>0.51600000000000001</v>
      </c>
      <c r="H334" s="85">
        <v>0.51600000000000001</v>
      </c>
      <c r="I334" s="85">
        <v>0.51600000000000001</v>
      </c>
      <c r="J334" s="85">
        <v>0.51600000000000001</v>
      </c>
      <c r="K334" s="85">
        <v>0.51600000000000001</v>
      </c>
      <c r="L334" s="85">
        <v>0.51600000000000001</v>
      </c>
      <c r="M334" s="85">
        <v>0.51600000000000001</v>
      </c>
      <c r="N334" s="111">
        <v>0.51600000000000001</v>
      </c>
    </row>
    <row r="335" spans="1:14" x14ac:dyDescent="0.25">
      <c r="A335" s="171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72"/>
    </row>
    <row r="336" spans="1:14" x14ac:dyDescent="0.25">
      <c r="A336" s="175" t="s">
        <v>292</v>
      </c>
      <c r="B336" s="150" t="s">
        <v>293</v>
      </c>
      <c r="C336" s="157" t="s">
        <v>308</v>
      </c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76"/>
    </row>
    <row r="337" spans="1:14" x14ac:dyDescent="0.25">
      <c r="A337" s="175"/>
      <c r="B337" s="150"/>
      <c r="C337" s="30" t="s">
        <v>295</v>
      </c>
      <c r="D337" s="30" t="s">
        <v>296</v>
      </c>
      <c r="E337" s="30" t="s">
        <v>297</v>
      </c>
      <c r="F337" s="30" t="s">
        <v>298</v>
      </c>
      <c r="G337" s="30" t="s">
        <v>299</v>
      </c>
      <c r="H337" s="30" t="s">
        <v>300</v>
      </c>
      <c r="I337" s="30" t="s">
        <v>301</v>
      </c>
      <c r="J337" s="30" t="s">
        <v>302</v>
      </c>
      <c r="K337" s="30" t="s">
        <v>303</v>
      </c>
      <c r="L337" s="30" t="s">
        <v>304</v>
      </c>
      <c r="M337" s="30" t="s">
        <v>305</v>
      </c>
      <c r="N337" s="42" t="s">
        <v>306</v>
      </c>
    </row>
    <row r="338" spans="1:14" x14ac:dyDescent="0.25">
      <c r="A338" s="87">
        <v>114</v>
      </c>
      <c r="B338" s="80" t="s">
        <v>445</v>
      </c>
      <c r="C338" s="91">
        <v>6.61</v>
      </c>
      <c r="D338" s="91">
        <v>5.75</v>
      </c>
      <c r="E338" s="91">
        <v>4.5199999999999996</v>
      </c>
      <c r="F338" s="91">
        <v>3.2</v>
      </c>
      <c r="G338" s="91">
        <v>2.1</v>
      </c>
      <c r="H338" s="91">
        <v>1.4</v>
      </c>
      <c r="I338" s="91">
        <v>1.68</v>
      </c>
      <c r="J338" s="91">
        <v>2.39</v>
      </c>
      <c r="K338" s="91">
        <v>3.2</v>
      </c>
      <c r="L338" s="91">
        <v>4.74</v>
      </c>
      <c r="M338" s="91">
        <v>5.9</v>
      </c>
      <c r="N338" s="92">
        <v>6.65</v>
      </c>
    </row>
    <row r="339" spans="1:14" x14ac:dyDescent="0.25">
      <c r="A339" s="171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72"/>
    </row>
    <row r="340" spans="1:14" ht="18.75" x14ac:dyDescent="0.25">
      <c r="A340" s="173" t="s">
        <v>309</v>
      </c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74"/>
    </row>
    <row r="341" spans="1:14" x14ac:dyDescent="0.25">
      <c r="A341" s="175" t="s">
        <v>292</v>
      </c>
      <c r="B341" s="150" t="s">
        <v>293</v>
      </c>
      <c r="C341" s="150" t="s">
        <v>1</v>
      </c>
      <c r="D341" s="150" t="s">
        <v>2</v>
      </c>
      <c r="E341" s="150" t="s">
        <v>310</v>
      </c>
      <c r="F341" s="150"/>
      <c r="G341" s="150"/>
      <c r="H341" s="150"/>
      <c r="I341" s="30"/>
      <c r="J341" s="30"/>
      <c r="K341" s="30"/>
      <c r="L341" s="30"/>
      <c r="M341" s="30"/>
      <c r="N341" s="42"/>
    </row>
    <row r="342" spans="1:14" x14ac:dyDescent="0.25">
      <c r="A342" s="175"/>
      <c r="B342" s="150"/>
      <c r="C342" s="150"/>
      <c r="D342" s="150"/>
      <c r="E342" s="30" t="s">
        <v>292</v>
      </c>
      <c r="F342" s="30" t="s">
        <v>293</v>
      </c>
      <c r="G342" s="30" t="s">
        <v>1</v>
      </c>
      <c r="H342" s="30" t="s">
        <v>2</v>
      </c>
      <c r="I342" s="30"/>
      <c r="J342" s="30"/>
      <c r="K342" s="30"/>
      <c r="L342" s="30"/>
      <c r="M342" s="30"/>
      <c r="N342" s="42"/>
    </row>
    <row r="343" spans="1:14" x14ac:dyDescent="0.25">
      <c r="A343" s="90" t="s">
        <v>145</v>
      </c>
      <c r="B343" s="80" t="s">
        <v>146</v>
      </c>
      <c r="C343" s="85">
        <v>-29.45</v>
      </c>
      <c r="D343" s="85">
        <v>-53.28</v>
      </c>
      <c r="E343" s="71"/>
      <c r="F343" s="71"/>
      <c r="G343" s="71"/>
      <c r="H343" s="71"/>
      <c r="I343" s="73"/>
      <c r="J343" s="73"/>
      <c r="K343" s="73"/>
      <c r="L343" s="73"/>
      <c r="M343" s="73"/>
      <c r="N343" s="74"/>
    </row>
    <row r="344" spans="1:14" x14ac:dyDescent="0.25">
      <c r="A344" s="171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72"/>
    </row>
    <row r="345" spans="1:14" ht="18.75" x14ac:dyDescent="0.25">
      <c r="A345" s="173" t="s">
        <v>311</v>
      </c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74"/>
    </row>
    <row r="346" spans="1:14" x14ac:dyDescent="0.25">
      <c r="A346" s="175" t="s">
        <v>292</v>
      </c>
      <c r="B346" s="150" t="s">
        <v>293</v>
      </c>
      <c r="C346" s="151" t="s">
        <v>312</v>
      </c>
      <c r="D346" s="152"/>
      <c r="E346" s="152"/>
      <c r="F346" s="153"/>
      <c r="G346" s="151" t="s">
        <v>313</v>
      </c>
      <c r="H346" s="152"/>
      <c r="I346" s="152"/>
      <c r="J346" s="153"/>
      <c r="K346" s="30"/>
      <c r="L346" s="30"/>
      <c r="M346" s="30"/>
      <c r="N346" s="42"/>
    </row>
    <row r="347" spans="1:14" x14ac:dyDescent="0.25">
      <c r="A347" s="175"/>
      <c r="B347" s="150"/>
      <c r="C347" s="154"/>
      <c r="D347" s="155"/>
      <c r="E347" s="155"/>
      <c r="F347" s="156"/>
      <c r="G347" s="154"/>
      <c r="H347" s="155"/>
      <c r="I347" s="155"/>
      <c r="J347" s="156"/>
      <c r="K347" s="30"/>
      <c r="L347" s="30"/>
      <c r="M347" s="30"/>
      <c r="N347" s="42"/>
    </row>
    <row r="348" spans="1:14" ht="15.75" thickBot="1" x14ac:dyDescent="0.3">
      <c r="A348" s="49"/>
      <c r="B348" s="50"/>
      <c r="C348" s="177"/>
      <c r="D348" s="177"/>
      <c r="E348" s="177"/>
      <c r="F348" s="177"/>
      <c r="G348" s="177"/>
      <c r="H348" s="177"/>
      <c r="I348" s="177"/>
      <c r="J348" s="177"/>
      <c r="K348" s="51"/>
      <c r="L348" s="51"/>
      <c r="M348" s="51"/>
      <c r="N348" s="52"/>
    </row>
    <row r="349" spans="1:14" ht="16.5" thickTop="1" thickBot="1" x14ac:dyDescent="0.3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</row>
    <row r="350" spans="1:14" ht="19.5" thickTop="1" x14ac:dyDescent="0.25">
      <c r="A350" s="178" t="s">
        <v>446</v>
      </c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80"/>
    </row>
    <row r="351" spans="1:14" x14ac:dyDescent="0.25">
      <c r="A351" s="171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72"/>
    </row>
    <row r="352" spans="1:14" ht="18.75" x14ac:dyDescent="0.25">
      <c r="A352" s="173" t="s">
        <v>291</v>
      </c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74"/>
    </row>
    <row r="353" spans="1:14" x14ac:dyDescent="0.25">
      <c r="A353" s="175" t="s">
        <v>292</v>
      </c>
      <c r="B353" s="150" t="s">
        <v>293</v>
      </c>
      <c r="C353" s="157" t="s">
        <v>294</v>
      </c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76"/>
    </row>
    <row r="354" spans="1:14" x14ac:dyDescent="0.25">
      <c r="A354" s="175"/>
      <c r="B354" s="150"/>
      <c r="C354" s="30" t="s">
        <v>295</v>
      </c>
      <c r="D354" s="30" t="s">
        <v>296</v>
      </c>
      <c r="E354" s="30" t="s">
        <v>297</v>
      </c>
      <c r="F354" s="30" t="s">
        <v>298</v>
      </c>
      <c r="G354" s="30" t="s">
        <v>299</v>
      </c>
      <c r="H354" s="30" t="s">
        <v>300</v>
      </c>
      <c r="I354" s="30" t="s">
        <v>301</v>
      </c>
      <c r="J354" s="30" t="s">
        <v>302</v>
      </c>
      <c r="K354" s="30" t="s">
        <v>303</v>
      </c>
      <c r="L354" s="30" t="s">
        <v>304</v>
      </c>
      <c r="M354" s="30" t="s">
        <v>305</v>
      </c>
      <c r="N354" s="42" t="s">
        <v>306</v>
      </c>
    </row>
    <row r="355" spans="1:14" x14ac:dyDescent="0.25">
      <c r="A355" s="87">
        <v>98</v>
      </c>
      <c r="B355" s="80" t="s">
        <v>150</v>
      </c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111"/>
    </row>
    <row r="356" spans="1:14" x14ac:dyDescent="0.25">
      <c r="A356" s="171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72"/>
    </row>
    <row r="357" spans="1:14" x14ac:dyDescent="0.25">
      <c r="A357" s="175" t="s">
        <v>292</v>
      </c>
      <c r="B357" s="150" t="s">
        <v>293</v>
      </c>
      <c r="C357" s="157" t="s">
        <v>308</v>
      </c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76"/>
    </row>
    <row r="358" spans="1:14" x14ac:dyDescent="0.25">
      <c r="A358" s="175"/>
      <c r="B358" s="150"/>
      <c r="C358" s="30" t="s">
        <v>295</v>
      </c>
      <c r="D358" s="30" t="s">
        <v>296</v>
      </c>
      <c r="E358" s="30" t="s">
        <v>297</v>
      </c>
      <c r="F358" s="30" t="s">
        <v>298</v>
      </c>
      <c r="G358" s="30" t="s">
        <v>299</v>
      </c>
      <c r="H358" s="30" t="s">
        <v>300</v>
      </c>
      <c r="I358" s="30" t="s">
        <v>301</v>
      </c>
      <c r="J358" s="30" t="s">
        <v>302</v>
      </c>
      <c r="K358" s="30" t="s">
        <v>303</v>
      </c>
      <c r="L358" s="30" t="s">
        <v>304</v>
      </c>
      <c r="M358" s="30" t="s">
        <v>305</v>
      </c>
      <c r="N358" s="42" t="s">
        <v>306</v>
      </c>
    </row>
    <row r="359" spans="1:14" x14ac:dyDescent="0.25">
      <c r="A359" s="87">
        <v>98</v>
      </c>
      <c r="B359" s="80" t="s">
        <v>150</v>
      </c>
      <c r="C359" s="91">
        <v>6.32</v>
      </c>
      <c r="D359" s="91">
        <v>5.64</v>
      </c>
      <c r="E359" s="91">
        <v>4.6100000000000003</v>
      </c>
      <c r="F359" s="91">
        <v>3.4</v>
      </c>
      <c r="G359" s="91">
        <v>2.29</v>
      </c>
      <c r="H359" s="91">
        <v>1.53</v>
      </c>
      <c r="I359" s="91">
        <v>1.81</v>
      </c>
      <c r="J359" s="91">
        <v>2.52</v>
      </c>
      <c r="K359" s="91">
        <v>3.17</v>
      </c>
      <c r="L359" s="91">
        <v>4.55</v>
      </c>
      <c r="M359" s="91">
        <v>5.83</v>
      </c>
      <c r="N359" s="92">
        <v>6.03</v>
      </c>
    </row>
    <row r="360" spans="1:14" x14ac:dyDescent="0.25">
      <c r="A360" s="171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72"/>
    </row>
    <row r="361" spans="1:14" ht="18.75" x14ac:dyDescent="0.25">
      <c r="A361" s="173" t="s">
        <v>309</v>
      </c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74"/>
    </row>
    <row r="362" spans="1:14" x14ac:dyDescent="0.25">
      <c r="A362" s="175" t="s">
        <v>292</v>
      </c>
      <c r="B362" s="150" t="s">
        <v>293</v>
      </c>
      <c r="C362" s="150" t="s">
        <v>1</v>
      </c>
      <c r="D362" s="150" t="s">
        <v>2</v>
      </c>
      <c r="E362" s="150" t="s">
        <v>310</v>
      </c>
      <c r="F362" s="150"/>
      <c r="G362" s="150"/>
      <c r="H362" s="150"/>
      <c r="I362" s="30"/>
      <c r="J362" s="30"/>
      <c r="K362" s="30"/>
      <c r="L362" s="30"/>
      <c r="M362" s="30"/>
      <c r="N362" s="42"/>
    </row>
    <row r="363" spans="1:14" x14ac:dyDescent="0.25">
      <c r="A363" s="175"/>
      <c r="B363" s="150"/>
      <c r="C363" s="150"/>
      <c r="D363" s="150"/>
      <c r="E363" s="30" t="s">
        <v>292</v>
      </c>
      <c r="F363" s="30" t="s">
        <v>293</v>
      </c>
      <c r="G363" s="30" t="s">
        <v>1</v>
      </c>
      <c r="H363" s="30" t="s">
        <v>2</v>
      </c>
      <c r="I363" s="30"/>
      <c r="J363" s="30"/>
      <c r="K363" s="30"/>
      <c r="L363" s="30"/>
      <c r="M363" s="30"/>
      <c r="N363" s="42"/>
    </row>
    <row r="364" spans="1:14" x14ac:dyDescent="0.25">
      <c r="A364" s="90" t="s">
        <v>149</v>
      </c>
      <c r="B364" s="80" t="s">
        <v>150</v>
      </c>
      <c r="C364" s="85">
        <v>-29.01</v>
      </c>
      <c r="D364" s="85">
        <v>-51.39</v>
      </c>
      <c r="E364" s="85"/>
      <c r="F364" s="85"/>
      <c r="G364" s="85"/>
      <c r="H364" s="85"/>
      <c r="I364" s="81"/>
      <c r="J364" s="81"/>
      <c r="K364" s="81"/>
      <c r="L364" s="81"/>
      <c r="M364" s="81"/>
      <c r="N364" s="111"/>
    </row>
    <row r="365" spans="1:14" x14ac:dyDescent="0.25">
      <c r="A365" s="171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72"/>
    </row>
    <row r="366" spans="1:14" ht="18.75" x14ac:dyDescent="0.25">
      <c r="A366" s="173" t="s">
        <v>311</v>
      </c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74"/>
    </row>
    <row r="367" spans="1:14" x14ac:dyDescent="0.25">
      <c r="A367" s="175" t="s">
        <v>292</v>
      </c>
      <c r="B367" s="150" t="s">
        <v>293</v>
      </c>
      <c r="C367" s="151" t="s">
        <v>312</v>
      </c>
      <c r="D367" s="152"/>
      <c r="E367" s="152"/>
      <c r="F367" s="153"/>
      <c r="G367" s="151" t="s">
        <v>313</v>
      </c>
      <c r="H367" s="152"/>
      <c r="I367" s="152"/>
      <c r="J367" s="153"/>
      <c r="K367" s="30"/>
      <c r="L367" s="30"/>
      <c r="M367" s="30"/>
      <c r="N367" s="42"/>
    </row>
    <row r="368" spans="1:14" x14ac:dyDescent="0.25">
      <c r="A368" s="175"/>
      <c r="B368" s="150"/>
      <c r="C368" s="154"/>
      <c r="D368" s="155"/>
      <c r="E368" s="155"/>
      <c r="F368" s="156"/>
      <c r="G368" s="154"/>
      <c r="H368" s="155"/>
      <c r="I368" s="155"/>
      <c r="J368" s="156"/>
      <c r="K368" s="30"/>
      <c r="L368" s="30"/>
      <c r="M368" s="30"/>
      <c r="N368" s="42"/>
    </row>
    <row r="369" spans="1:14" ht="15.75" thickBot="1" x14ac:dyDescent="0.3">
      <c r="A369" s="49"/>
      <c r="B369" s="50"/>
      <c r="C369" s="177"/>
      <c r="D369" s="177"/>
      <c r="E369" s="177"/>
      <c r="F369" s="177"/>
      <c r="G369" s="177"/>
      <c r="H369" s="177"/>
      <c r="I369" s="177"/>
      <c r="J369" s="177"/>
      <c r="K369" s="51"/>
      <c r="L369" s="51"/>
      <c r="M369" s="51"/>
      <c r="N369" s="52"/>
    </row>
    <row r="370" spans="1:14" ht="16.5" thickTop="1" thickBot="1" x14ac:dyDescent="0.3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</row>
    <row r="371" spans="1:14" ht="19.5" thickTop="1" x14ac:dyDescent="0.25">
      <c r="A371" s="178" t="s">
        <v>447</v>
      </c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80"/>
    </row>
    <row r="372" spans="1:14" x14ac:dyDescent="0.25">
      <c r="A372" s="171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72"/>
    </row>
    <row r="373" spans="1:14" ht="18.75" x14ac:dyDescent="0.25">
      <c r="A373" s="173" t="s">
        <v>291</v>
      </c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74"/>
    </row>
    <row r="374" spans="1:14" x14ac:dyDescent="0.25">
      <c r="A374" s="175" t="s">
        <v>292</v>
      </c>
      <c r="B374" s="150" t="s">
        <v>293</v>
      </c>
      <c r="C374" s="157" t="s">
        <v>294</v>
      </c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76"/>
    </row>
    <row r="375" spans="1:14" x14ac:dyDescent="0.25">
      <c r="A375" s="175"/>
      <c r="B375" s="150"/>
      <c r="C375" s="30" t="s">
        <v>295</v>
      </c>
      <c r="D375" s="30" t="s">
        <v>296</v>
      </c>
      <c r="E375" s="30" t="s">
        <v>297</v>
      </c>
      <c r="F375" s="30" t="s">
        <v>298</v>
      </c>
      <c r="G375" s="30" t="s">
        <v>299</v>
      </c>
      <c r="H375" s="30" t="s">
        <v>300</v>
      </c>
      <c r="I375" s="30" t="s">
        <v>301</v>
      </c>
      <c r="J375" s="30" t="s">
        <v>302</v>
      </c>
      <c r="K375" s="30" t="s">
        <v>303</v>
      </c>
      <c r="L375" s="30" t="s">
        <v>304</v>
      </c>
      <c r="M375" s="30" t="s">
        <v>305</v>
      </c>
      <c r="N375" s="42" t="s">
        <v>306</v>
      </c>
    </row>
    <row r="376" spans="1:14" x14ac:dyDescent="0.25">
      <c r="A376" s="87">
        <v>97</v>
      </c>
      <c r="B376" s="80" t="s">
        <v>448</v>
      </c>
      <c r="C376" s="85">
        <v>0.88700000000000001</v>
      </c>
      <c r="D376" s="85">
        <v>0.88700000000000001</v>
      </c>
      <c r="E376" s="85">
        <v>0.88700000000000001</v>
      </c>
      <c r="F376" s="85">
        <v>0.88700000000000001</v>
      </c>
      <c r="G376" s="85">
        <v>0.88700000000000001</v>
      </c>
      <c r="H376" s="85">
        <v>0.88700000000000001</v>
      </c>
      <c r="I376" s="85">
        <v>0.88700000000000001</v>
      </c>
      <c r="J376" s="85">
        <v>0.88700000000000001</v>
      </c>
      <c r="K376" s="85">
        <v>0.88700000000000001</v>
      </c>
      <c r="L376" s="85">
        <v>0.88700000000000001</v>
      </c>
      <c r="M376" s="85">
        <v>0.88700000000000001</v>
      </c>
      <c r="N376" s="111">
        <v>0.88700000000000001</v>
      </c>
    </row>
    <row r="377" spans="1:14" x14ac:dyDescent="0.25">
      <c r="A377" s="112">
        <v>284</v>
      </c>
      <c r="B377" s="82" t="s">
        <v>144</v>
      </c>
      <c r="C377" s="113">
        <v>0.113</v>
      </c>
      <c r="D377" s="113">
        <v>0.113</v>
      </c>
      <c r="E377" s="113">
        <v>0.113</v>
      </c>
      <c r="F377" s="113">
        <v>0.113</v>
      </c>
      <c r="G377" s="113">
        <v>0.113</v>
      </c>
      <c r="H377" s="113">
        <v>0.113</v>
      </c>
      <c r="I377" s="113">
        <v>0.113</v>
      </c>
      <c r="J377" s="113">
        <v>0.113</v>
      </c>
      <c r="K377" s="113">
        <v>0.113</v>
      </c>
      <c r="L377" s="113">
        <v>0.113</v>
      </c>
      <c r="M377" s="113">
        <v>0.113</v>
      </c>
      <c r="N377" s="45">
        <v>0.113</v>
      </c>
    </row>
    <row r="378" spans="1:14" x14ac:dyDescent="0.25">
      <c r="A378" s="171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72"/>
    </row>
    <row r="379" spans="1:14" x14ac:dyDescent="0.25">
      <c r="A379" s="175" t="s">
        <v>292</v>
      </c>
      <c r="B379" s="150" t="s">
        <v>293</v>
      </c>
      <c r="C379" s="157" t="s">
        <v>308</v>
      </c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76"/>
    </row>
    <row r="380" spans="1:14" x14ac:dyDescent="0.25">
      <c r="A380" s="175"/>
      <c r="B380" s="150"/>
      <c r="C380" s="30" t="s">
        <v>295</v>
      </c>
      <c r="D380" s="30" t="s">
        <v>296</v>
      </c>
      <c r="E380" s="30" t="s">
        <v>297</v>
      </c>
      <c r="F380" s="30" t="s">
        <v>298</v>
      </c>
      <c r="G380" s="30" t="s">
        <v>299</v>
      </c>
      <c r="H380" s="30" t="s">
        <v>300</v>
      </c>
      <c r="I380" s="30" t="s">
        <v>301</v>
      </c>
      <c r="J380" s="30" t="s">
        <v>302</v>
      </c>
      <c r="K380" s="30" t="s">
        <v>303</v>
      </c>
      <c r="L380" s="30" t="s">
        <v>304</v>
      </c>
      <c r="M380" s="30" t="s">
        <v>305</v>
      </c>
      <c r="N380" s="42" t="s">
        <v>306</v>
      </c>
    </row>
    <row r="381" spans="1:14" x14ac:dyDescent="0.25">
      <c r="A381" s="87">
        <v>284</v>
      </c>
      <c r="B381" s="80" t="s">
        <v>144</v>
      </c>
      <c r="C381" s="91">
        <v>6.42</v>
      </c>
      <c r="D381" s="91">
        <v>5.79</v>
      </c>
      <c r="E381" s="91">
        <v>4.68</v>
      </c>
      <c r="F381" s="91">
        <v>3.4</v>
      </c>
      <c r="G381" s="91">
        <v>2.23</v>
      </c>
      <c r="H381" s="91">
        <v>1.53</v>
      </c>
      <c r="I381" s="91">
        <v>1.81</v>
      </c>
      <c r="J381" s="91">
        <v>2.4500000000000002</v>
      </c>
      <c r="K381" s="91">
        <v>3.17</v>
      </c>
      <c r="L381" s="91">
        <v>4.58</v>
      </c>
      <c r="M381" s="91">
        <v>5.7</v>
      </c>
      <c r="N381" s="92">
        <v>6.39</v>
      </c>
    </row>
    <row r="382" spans="1:14" x14ac:dyDescent="0.25">
      <c r="A382" s="171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72"/>
    </row>
    <row r="383" spans="1:14" ht="18.75" x14ac:dyDescent="0.25">
      <c r="A383" s="173" t="s">
        <v>309</v>
      </c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74"/>
    </row>
    <row r="384" spans="1:14" x14ac:dyDescent="0.25">
      <c r="A384" s="175" t="s">
        <v>292</v>
      </c>
      <c r="B384" s="150" t="s">
        <v>293</v>
      </c>
      <c r="C384" s="150" t="s">
        <v>1</v>
      </c>
      <c r="D384" s="150" t="s">
        <v>2</v>
      </c>
      <c r="E384" s="150" t="s">
        <v>310</v>
      </c>
      <c r="F384" s="150"/>
      <c r="G384" s="150"/>
      <c r="H384" s="150"/>
      <c r="I384" s="30"/>
      <c r="J384" s="30"/>
      <c r="K384" s="30"/>
      <c r="L384" s="30"/>
      <c r="M384" s="30"/>
      <c r="N384" s="42"/>
    </row>
    <row r="385" spans="1:14" x14ac:dyDescent="0.25">
      <c r="A385" s="175"/>
      <c r="B385" s="150"/>
      <c r="C385" s="150"/>
      <c r="D385" s="150"/>
      <c r="E385" s="30" t="s">
        <v>292</v>
      </c>
      <c r="F385" s="30" t="s">
        <v>293</v>
      </c>
      <c r="G385" s="30" t="s">
        <v>1</v>
      </c>
      <c r="H385" s="30" t="s">
        <v>2</v>
      </c>
      <c r="I385" s="30"/>
      <c r="J385" s="30"/>
      <c r="K385" s="30"/>
      <c r="L385" s="30"/>
      <c r="M385" s="30"/>
      <c r="N385" s="42"/>
    </row>
    <row r="386" spans="1:14" x14ac:dyDescent="0.25">
      <c r="A386" s="90" t="s">
        <v>143</v>
      </c>
      <c r="B386" s="80" t="s">
        <v>449</v>
      </c>
      <c r="C386" s="85">
        <v>-29.07</v>
      </c>
      <c r="D386" s="85">
        <v>-51.67</v>
      </c>
      <c r="E386" s="85"/>
      <c r="F386" s="85"/>
      <c r="G386" s="85"/>
      <c r="H386" s="85"/>
      <c r="I386" s="81"/>
      <c r="J386" s="81"/>
      <c r="K386" s="81"/>
      <c r="L386" s="81"/>
      <c r="M386" s="81"/>
      <c r="N386" s="111"/>
    </row>
    <row r="387" spans="1:14" x14ac:dyDescent="0.25">
      <c r="A387" s="171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72"/>
    </row>
    <row r="388" spans="1:14" ht="18.75" x14ac:dyDescent="0.25">
      <c r="A388" s="173" t="s">
        <v>311</v>
      </c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74"/>
    </row>
    <row r="389" spans="1:14" x14ac:dyDescent="0.25">
      <c r="A389" s="175" t="s">
        <v>292</v>
      </c>
      <c r="B389" s="150" t="s">
        <v>293</v>
      </c>
      <c r="C389" s="151" t="s">
        <v>312</v>
      </c>
      <c r="D389" s="152"/>
      <c r="E389" s="152"/>
      <c r="F389" s="153"/>
      <c r="G389" s="151" t="s">
        <v>313</v>
      </c>
      <c r="H389" s="152"/>
      <c r="I389" s="152"/>
      <c r="J389" s="153"/>
      <c r="K389" s="30"/>
      <c r="L389" s="30"/>
      <c r="M389" s="30"/>
      <c r="N389" s="42"/>
    </row>
    <row r="390" spans="1:14" x14ac:dyDescent="0.25">
      <c r="A390" s="175"/>
      <c r="B390" s="150"/>
      <c r="C390" s="154"/>
      <c r="D390" s="155"/>
      <c r="E390" s="155"/>
      <c r="F390" s="156"/>
      <c r="G390" s="154"/>
      <c r="H390" s="155"/>
      <c r="I390" s="155"/>
      <c r="J390" s="156"/>
      <c r="K390" s="30"/>
      <c r="L390" s="30"/>
      <c r="M390" s="30"/>
      <c r="N390" s="42"/>
    </row>
    <row r="391" spans="1:14" ht="15.75" thickBot="1" x14ac:dyDescent="0.3">
      <c r="A391" s="49"/>
      <c r="B391" s="50"/>
      <c r="C391" s="177"/>
      <c r="D391" s="177"/>
      <c r="E391" s="177"/>
      <c r="F391" s="177"/>
      <c r="G391" s="177"/>
      <c r="H391" s="177"/>
      <c r="I391" s="177"/>
      <c r="J391" s="177"/>
      <c r="K391" s="51"/>
      <c r="L391" s="51"/>
      <c r="M391" s="51"/>
      <c r="N391" s="52"/>
    </row>
    <row r="392" spans="1:14" ht="16.5" thickTop="1" thickBot="1" x14ac:dyDescent="0.3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</row>
    <row r="393" spans="1:14" ht="19.5" thickTop="1" x14ac:dyDescent="0.25">
      <c r="A393" s="178" t="s">
        <v>580</v>
      </c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80"/>
    </row>
    <row r="394" spans="1:14" x14ac:dyDescent="0.25">
      <c r="A394" s="171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72"/>
    </row>
    <row r="395" spans="1:14" ht="18.75" x14ac:dyDescent="0.25">
      <c r="A395" s="173" t="s">
        <v>291</v>
      </c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74"/>
    </row>
    <row r="396" spans="1:14" x14ac:dyDescent="0.25">
      <c r="A396" s="175" t="s">
        <v>292</v>
      </c>
      <c r="B396" s="150" t="s">
        <v>293</v>
      </c>
      <c r="C396" s="157" t="s">
        <v>294</v>
      </c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76"/>
    </row>
    <row r="397" spans="1:14" x14ac:dyDescent="0.25">
      <c r="A397" s="175"/>
      <c r="B397" s="150"/>
      <c r="C397" s="140" t="s">
        <v>295</v>
      </c>
      <c r="D397" s="140" t="s">
        <v>296</v>
      </c>
      <c r="E397" s="140" t="s">
        <v>297</v>
      </c>
      <c r="F397" s="140" t="s">
        <v>298</v>
      </c>
      <c r="G397" s="140" t="s">
        <v>299</v>
      </c>
      <c r="H397" s="140" t="s">
        <v>300</v>
      </c>
      <c r="I397" s="140" t="s">
        <v>301</v>
      </c>
      <c r="J397" s="140" t="s">
        <v>302</v>
      </c>
      <c r="K397" s="140" t="s">
        <v>303</v>
      </c>
      <c r="L397" s="140" t="s">
        <v>304</v>
      </c>
      <c r="M397" s="140" t="s">
        <v>305</v>
      </c>
      <c r="N397" s="42" t="s">
        <v>306</v>
      </c>
    </row>
    <row r="398" spans="1:14" x14ac:dyDescent="0.25">
      <c r="A398" s="87">
        <v>221</v>
      </c>
      <c r="B398" s="80" t="s">
        <v>581</v>
      </c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111"/>
    </row>
    <row r="399" spans="1:14" x14ac:dyDescent="0.25">
      <c r="A399" s="171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72"/>
    </row>
    <row r="400" spans="1:14" x14ac:dyDescent="0.25">
      <c r="A400" s="175" t="s">
        <v>292</v>
      </c>
      <c r="B400" s="150" t="s">
        <v>293</v>
      </c>
      <c r="C400" s="157" t="s">
        <v>308</v>
      </c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76"/>
    </row>
    <row r="401" spans="1:14" x14ac:dyDescent="0.25">
      <c r="A401" s="175"/>
      <c r="B401" s="150"/>
      <c r="C401" s="140" t="s">
        <v>295</v>
      </c>
      <c r="D401" s="140" t="s">
        <v>296</v>
      </c>
      <c r="E401" s="140" t="s">
        <v>297</v>
      </c>
      <c r="F401" s="140" t="s">
        <v>298</v>
      </c>
      <c r="G401" s="140" t="s">
        <v>299</v>
      </c>
      <c r="H401" s="140" t="s">
        <v>300</v>
      </c>
      <c r="I401" s="140" t="s">
        <v>301</v>
      </c>
      <c r="J401" s="140" t="s">
        <v>302</v>
      </c>
      <c r="K401" s="140" t="s">
        <v>303</v>
      </c>
      <c r="L401" s="140" t="s">
        <v>304</v>
      </c>
      <c r="M401" s="140" t="s">
        <v>305</v>
      </c>
      <c r="N401" s="42" t="s">
        <v>306</v>
      </c>
    </row>
    <row r="402" spans="1:14" x14ac:dyDescent="0.25">
      <c r="A402" s="87">
        <v>221</v>
      </c>
      <c r="B402" s="80" t="s">
        <v>581</v>
      </c>
      <c r="C402" s="91">
        <v>5.5</v>
      </c>
      <c r="D402" s="91">
        <v>5.25</v>
      </c>
      <c r="E402" s="91">
        <v>4.6900000000000004</v>
      </c>
      <c r="F402" s="91">
        <v>3.8</v>
      </c>
      <c r="G402" s="91">
        <v>2.61</v>
      </c>
      <c r="H402" s="91">
        <v>2.13</v>
      </c>
      <c r="I402" s="91">
        <v>2.27</v>
      </c>
      <c r="J402" s="91">
        <v>3</v>
      </c>
      <c r="K402" s="91">
        <v>3.32</v>
      </c>
      <c r="L402" s="91">
        <v>4.1100000000000003</v>
      </c>
      <c r="M402" s="91">
        <v>5.55</v>
      </c>
      <c r="N402" s="92">
        <v>5.83</v>
      </c>
    </row>
    <row r="403" spans="1:14" x14ac:dyDescent="0.25">
      <c r="A403" s="171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72"/>
    </row>
    <row r="404" spans="1:14" ht="18.75" x14ac:dyDescent="0.25">
      <c r="A404" s="173" t="s">
        <v>309</v>
      </c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74"/>
    </row>
    <row r="405" spans="1:14" x14ac:dyDescent="0.25">
      <c r="A405" s="175" t="s">
        <v>292</v>
      </c>
      <c r="B405" s="150" t="s">
        <v>293</v>
      </c>
      <c r="C405" s="150" t="s">
        <v>1</v>
      </c>
      <c r="D405" s="150" t="s">
        <v>2</v>
      </c>
      <c r="E405" s="150" t="s">
        <v>310</v>
      </c>
      <c r="F405" s="150"/>
      <c r="G405" s="150"/>
      <c r="H405" s="150"/>
      <c r="I405" s="140"/>
      <c r="J405" s="140"/>
      <c r="K405" s="140"/>
      <c r="L405" s="140"/>
      <c r="M405" s="140"/>
      <c r="N405" s="42"/>
    </row>
    <row r="406" spans="1:14" x14ac:dyDescent="0.25">
      <c r="A406" s="175"/>
      <c r="B406" s="150"/>
      <c r="C406" s="150"/>
      <c r="D406" s="150"/>
      <c r="E406" s="140" t="s">
        <v>292</v>
      </c>
      <c r="F406" s="140" t="s">
        <v>293</v>
      </c>
      <c r="G406" s="140" t="s">
        <v>1</v>
      </c>
      <c r="H406" s="140" t="s">
        <v>2</v>
      </c>
      <c r="I406" s="140"/>
      <c r="J406" s="140"/>
      <c r="K406" s="140"/>
      <c r="L406" s="140"/>
      <c r="M406" s="140"/>
      <c r="N406" s="42"/>
    </row>
    <row r="407" spans="1:14" x14ac:dyDescent="0.25">
      <c r="A407" s="90" t="s">
        <v>582</v>
      </c>
      <c r="B407" s="80" t="s">
        <v>581</v>
      </c>
      <c r="C407" s="85">
        <v>-29.315000000000001</v>
      </c>
      <c r="D407" s="85">
        <v>-50.679000000000002</v>
      </c>
      <c r="E407" s="71"/>
      <c r="F407" s="71"/>
      <c r="G407" s="71"/>
      <c r="H407" s="71"/>
      <c r="I407" s="73"/>
      <c r="J407" s="73"/>
      <c r="K407" s="73"/>
      <c r="L407" s="73"/>
      <c r="M407" s="73"/>
      <c r="N407" s="74"/>
    </row>
    <row r="408" spans="1:14" x14ac:dyDescent="0.25">
      <c r="A408" s="171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72"/>
    </row>
    <row r="409" spans="1:14" ht="18.75" x14ac:dyDescent="0.25">
      <c r="A409" s="173" t="s">
        <v>311</v>
      </c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74"/>
    </row>
    <row r="410" spans="1:14" x14ac:dyDescent="0.25">
      <c r="A410" s="175" t="s">
        <v>292</v>
      </c>
      <c r="B410" s="150" t="s">
        <v>293</v>
      </c>
      <c r="C410" s="151" t="s">
        <v>312</v>
      </c>
      <c r="D410" s="152"/>
      <c r="E410" s="152"/>
      <c r="F410" s="153"/>
      <c r="G410" s="151" t="s">
        <v>313</v>
      </c>
      <c r="H410" s="152"/>
      <c r="I410" s="152"/>
      <c r="J410" s="153"/>
      <c r="K410" s="140"/>
      <c r="L410" s="140"/>
      <c r="M410" s="140"/>
      <c r="N410" s="42"/>
    </row>
    <row r="411" spans="1:14" x14ac:dyDescent="0.25">
      <c r="A411" s="175"/>
      <c r="B411" s="150"/>
      <c r="C411" s="154"/>
      <c r="D411" s="155"/>
      <c r="E411" s="155"/>
      <c r="F411" s="156"/>
      <c r="G411" s="154"/>
      <c r="H411" s="155"/>
      <c r="I411" s="155"/>
      <c r="J411" s="156"/>
      <c r="K411" s="140"/>
      <c r="L411" s="140"/>
      <c r="M411" s="140"/>
      <c r="N411" s="42"/>
    </row>
    <row r="412" spans="1:14" ht="15.75" thickBot="1" x14ac:dyDescent="0.3">
      <c r="A412" s="49"/>
      <c r="B412" s="50"/>
      <c r="C412" s="177"/>
      <c r="D412" s="177"/>
      <c r="E412" s="177"/>
      <c r="F412" s="177"/>
      <c r="G412" s="177"/>
      <c r="H412" s="177"/>
      <c r="I412" s="177"/>
      <c r="J412" s="177"/>
      <c r="K412" s="51"/>
      <c r="L412" s="51"/>
      <c r="M412" s="51"/>
      <c r="N412" s="52"/>
    </row>
    <row r="413" spans="1:14" ht="16.5" thickTop="1" thickBot="1" x14ac:dyDescent="0.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</row>
    <row r="414" spans="1:14" ht="19.5" thickTop="1" x14ac:dyDescent="0.25">
      <c r="A414" s="178" t="s">
        <v>450</v>
      </c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80"/>
    </row>
    <row r="415" spans="1:14" x14ac:dyDescent="0.25">
      <c r="A415" s="171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72"/>
    </row>
    <row r="416" spans="1:14" ht="18.75" x14ac:dyDescent="0.25">
      <c r="A416" s="173" t="s">
        <v>291</v>
      </c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74"/>
    </row>
    <row r="417" spans="1:14" x14ac:dyDescent="0.25">
      <c r="A417" s="175" t="s">
        <v>292</v>
      </c>
      <c r="B417" s="150" t="s">
        <v>293</v>
      </c>
      <c r="C417" s="157" t="s">
        <v>294</v>
      </c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76"/>
    </row>
    <row r="418" spans="1:14" x14ac:dyDescent="0.25">
      <c r="A418" s="175"/>
      <c r="B418" s="150"/>
      <c r="C418" s="30" t="s">
        <v>295</v>
      </c>
      <c r="D418" s="30" t="s">
        <v>296</v>
      </c>
      <c r="E418" s="30" t="s">
        <v>297</v>
      </c>
      <c r="F418" s="30" t="s">
        <v>298</v>
      </c>
      <c r="G418" s="30" t="s">
        <v>299</v>
      </c>
      <c r="H418" s="30" t="s">
        <v>300</v>
      </c>
      <c r="I418" s="30" t="s">
        <v>301</v>
      </c>
      <c r="J418" s="30" t="s">
        <v>302</v>
      </c>
      <c r="K418" s="30" t="s">
        <v>303</v>
      </c>
      <c r="L418" s="30" t="s">
        <v>304</v>
      </c>
      <c r="M418" s="30" t="s">
        <v>305</v>
      </c>
      <c r="N418" s="42" t="s">
        <v>306</v>
      </c>
    </row>
    <row r="419" spans="1:14" x14ac:dyDescent="0.25">
      <c r="A419" s="87">
        <v>115</v>
      </c>
      <c r="B419" s="80" t="s">
        <v>451</v>
      </c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111"/>
    </row>
    <row r="420" spans="1:14" x14ac:dyDescent="0.25">
      <c r="A420" s="171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72"/>
    </row>
    <row r="421" spans="1:14" x14ac:dyDescent="0.25">
      <c r="A421" s="175" t="s">
        <v>292</v>
      </c>
      <c r="B421" s="150" t="s">
        <v>293</v>
      </c>
      <c r="C421" s="157" t="s">
        <v>308</v>
      </c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76"/>
    </row>
    <row r="422" spans="1:14" x14ac:dyDescent="0.25">
      <c r="A422" s="175"/>
      <c r="B422" s="150"/>
      <c r="C422" s="30" t="s">
        <v>295</v>
      </c>
      <c r="D422" s="30" t="s">
        <v>296</v>
      </c>
      <c r="E422" s="30" t="s">
        <v>297</v>
      </c>
      <c r="F422" s="30" t="s">
        <v>298</v>
      </c>
      <c r="G422" s="30" t="s">
        <v>299</v>
      </c>
      <c r="H422" s="30" t="s">
        <v>300</v>
      </c>
      <c r="I422" s="30" t="s">
        <v>301</v>
      </c>
      <c r="J422" s="30" t="s">
        <v>302</v>
      </c>
      <c r="K422" s="30" t="s">
        <v>303</v>
      </c>
      <c r="L422" s="30" t="s">
        <v>304</v>
      </c>
      <c r="M422" s="30" t="s">
        <v>305</v>
      </c>
      <c r="N422" s="42" t="s">
        <v>306</v>
      </c>
    </row>
    <row r="423" spans="1:14" x14ac:dyDescent="0.25">
      <c r="A423" s="87">
        <v>115</v>
      </c>
      <c r="B423" s="80" t="s">
        <v>451</v>
      </c>
      <c r="C423" s="91">
        <v>4.5199999999999996</v>
      </c>
      <c r="D423" s="91">
        <v>4.32</v>
      </c>
      <c r="E423" s="91">
        <v>3.81</v>
      </c>
      <c r="F423" s="91">
        <v>3</v>
      </c>
      <c r="G423" s="91">
        <v>2.29</v>
      </c>
      <c r="H423" s="91">
        <v>1.87</v>
      </c>
      <c r="I423" s="91">
        <v>2.0299999999999998</v>
      </c>
      <c r="J423" s="91">
        <v>2.5499999999999998</v>
      </c>
      <c r="K423" s="91">
        <v>3.07</v>
      </c>
      <c r="L423" s="91">
        <v>3.65</v>
      </c>
      <c r="M423" s="91">
        <v>4.2300000000000004</v>
      </c>
      <c r="N423" s="92">
        <v>4.42</v>
      </c>
    </row>
    <row r="424" spans="1:14" x14ac:dyDescent="0.25">
      <c r="A424" s="171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72"/>
    </row>
    <row r="425" spans="1:14" ht="18.75" x14ac:dyDescent="0.25">
      <c r="A425" s="173" t="s">
        <v>309</v>
      </c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74"/>
    </row>
    <row r="426" spans="1:14" x14ac:dyDescent="0.25">
      <c r="A426" s="175" t="s">
        <v>292</v>
      </c>
      <c r="B426" s="150" t="s">
        <v>293</v>
      </c>
      <c r="C426" s="150" t="s">
        <v>1</v>
      </c>
      <c r="D426" s="150" t="s">
        <v>2</v>
      </c>
      <c r="E426" s="150" t="s">
        <v>310</v>
      </c>
      <c r="F426" s="150"/>
      <c r="G426" s="150"/>
      <c r="H426" s="150"/>
      <c r="I426" s="30"/>
      <c r="J426" s="30"/>
      <c r="K426" s="30"/>
      <c r="L426" s="30"/>
      <c r="M426" s="30"/>
      <c r="N426" s="42"/>
    </row>
    <row r="427" spans="1:14" x14ac:dyDescent="0.25">
      <c r="A427" s="175"/>
      <c r="B427" s="150"/>
      <c r="C427" s="150"/>
      <c r="D427" s="150"/>
      <c r="E427" s="30" t="s">
        <v>292</v>
      </c>
      <c r="F427" s="30" t="s">
        <v>293</v>
      </c>
      <c r="G427" s="30" t="s">
        <v>1</v>
      </c>
      <c r="H427" s="30" t="s">
        <v>2</v>
      </c>
      <c r="I427" s="30"/>
      <c r="J427" s="30"/>
      <c r="K427" s="30"/>
      <c r="L427" s="30"/>
      <c r="M427" s="30"/>
      <c r="N427" s="42"/>
    </row>
    <row r="428" spans="1:14" x14ac:dyDescent="0.25">
      <c r="A428" s="90" t="s">
        <v>155</v>
      </c>
      <c r="B428" s="80" t="s">
        <v>156</v>
      </c>
      <c r="C428" s="85">
        <v>-25.14</v>
      </c>
      <c r="D428" s="85">
        <v>-48.87</v>
      </c>
      <c r="E428" s="71"/>
      <c r="F428" s="71"/>
      <c r="G428" s="71"/>
      <c r="H428" s="71"/>
      <c r="I428" s="73"/>
      <c r="J428" s="73"/>
      <c r="K428" s="73"/>
      <c r="L428" s="73"/>
      <c r="M428" s="73"/>
      <c r="N428" s="74"/>
    </row>
    <row r="429" spans="1:14" x14ac:dyDescent="0.25">
      <c r="A429" s="171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72"/>
    </row>
    <row r="430" spans="1:14" ht="18.75" x14ac:dyDescent="0.25">
      <c r="A430" s="173" t="s">
        <v>311</v>
      </c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74"/>
    </row>
    <row r="431" spans="1:14" x14ac:dyDescent="0.25">
      <c r="A431" s="175" t="s">
        <v>292</v>
      </c>
      <c r="B431" s="150" t="s">
        <v>293</v>
      </c>
      <c r="C431" s="151" t="s">
        <v>312</v>
      </c>
      <c r="D431" s="152"/>
      <c r="E431" s="152"/>
      <c r="F431" s="153"/>
      <c r="G431" s="151" t="s">
        <v>313</v>
      </c>
      <c r="H431" s="152"/>
      <c r="I431" s="152"/>
      <c r="J431" s="153"/>
      <c r="K431" s="30"/>
      <c r="L431" s="30"/>
      <c r="M431" s="30"/>
      <c r="N431" s="42"/>
    </row>
    <row r="432" spans="1:14" x14ac:dyDescent="0.25">
      <c r="A432" s="175"/>
      <c r="B432" s="150"/>
      <c r="C432" s="154"/>
      <c r="D432" s="155"/>
      <c r="E432" s="155"/>
      <c r="F432" s="156"/>
      <c r="G432" s="154"/>
      <c r="H432" s="155"/>
      <c r="I432" s="155"/>
      <c r="J432" s="156"/>
      <c r="K432" s="30"/>
      <c r="L432" s="30"/>
      <c r="M432" s="30"/>
      <c r="N432" s="42"/>
    </row>
    <row r="433" spans="1:14" ht="15.75" thickBot="1" x14ac:dyDescent="0.3">
      <c r="A433" s="49"/>
      <c r="B433" s="50"/>
      <c r="C433" s="177"/>
      <c r="D433" s="177"/>
      <c r="E433" s="177"/>
      <c r="F433" s="177"/>
      <c r="G433" s="177"/>
      <c r="H433" s="177"/>
      <c r="I433" s="177"/>
      <c r="J433" s="177"/>
      <c r="K433" s="51"/>
      <c r="L433" s="51"/>
      <c r="M433" s="51"/>
      <c r="N433" s="52"/>
    </row>
    <row r="434" spans="1:14" ht="16.5" thickTop="1" thickBot="1" x14ac:dyDescent="0.3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</row>
    <row r="435" spans="1:14" ht="19.5" thickTop="1" x14ac:dyDescent="0.25">
      <c r="A435" s="178" t="s">
        <v>452</v>
      </c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80"/>
    </row>
    <row r="436" spans="1:14" x14ac:dyDescent="0.25">
      <c r="A436" s="171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72"/>
    </row>
    <row r="437" spans="1:14" ht="18.75" x14ac:dyDescent="0.25">
      <c r="A437" s="173" t="s">
        <v>291</v>
      </c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74"/>
    </row>
    <row r="438" spans="1:14" x14ac:dyDescent="0.25">
      <c r="A438" s="175" t="s">
        <v>292</v>
      </c>
      <c r="B438" s="150" t="s">
        <v>293</v>
      </c>
      <c r="C438" s="157" t="s">
        <v>294</v>
      </c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76"/>
    </row>
    <row r="439" spans="1:14" x14ac:dyDescent="0.25">
      <c r="A439" s="175"/>
      <c r="B439" s="150"/>
      <c r="C439" s="30" t="s">
        <v>295</v>
      </c>
      <c r="D439" s="30" t="s">
        <v>296</v>
      </c>
      <c r="E439" s="30" t="s">
        <v>297</v>
      </c>
      <c r="F439" s="30" t="s">
        <v>298</v>
      </c>
      <c r="G439" s="30" t="s">
        <v>299</v>
      </c>
      <c r="H439" s="30" t="s">
        <v>300</v>
      </c>
      <c r="I439" s="30" t="s">
        <v>301</v>
      </c>
      <c r="J439" s="30" t="s">
        <v>302</v>
      </c>
      <c r="K439" s="30" t="s">
        <v>303</v>
      </c>
      <c r="L439" s="30" t="s">
        <v>304</v>
      </c>
      <c r="M439" s="30" t="s">
        <v>305</v>
      </c>
      <c r="N439" s="42" t="s">
        <v>306</v>
      </c>
    </row>
    <row r="440" spans="1:14" x14ac:dyDescent="0.25">
      <c r="A440" s="87">
        <v>101</v>
      </c>
      <c r="B440" s="80" t="s">
        <v>154</v>
      </c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111"/>
    </row>
    <row r="441" spans="1:14" x14ac:dyDescent="0.25">
      <c r="A441" s="171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72"/>
    </row>
    <row r="442" spans="1:14" x14ac:dyDescent="0.25">
      <c r="A442" s="175" t="s">
        <v>292</v>
      </c>
      <c r="B442" s="150" t="s">
        <v>293</v>
      </c>
      <c r="C442" s="157" t="s">
        <v>308</v>
      </c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76"/>
    </row>
    <row r="443" spans="1:14" x14ac:dyDescent="0.25">
      <c r="A443" s="175"/>
      <c r="B443" s="150"/>
      <c r="C443" s="30" t="s">
        <v>295</v>
      </c>
      <c r="D443" s="30" t="s">
        <v>296</v>
      </c>
      <c r="E443" s="30" t="s">
        <v>297</v>
      </c>
      <c r="F443" s="30" t="s">
        <v>298</v>
      </c>
      <c r="G443" s="30" t="s">
        <v>299</v>
      </c>
      <c r="H443" s="30" t="s">
        <v>300</v>
      </c>
      <c r="I443" s="30" t="s">
        <v>301</v>
      </c>
      <c r="J443" s="30" t="s">
        <v>302</v>
      </c>
      <c r="K443" s="30" t="s">
        <v>303</v>
      </c>
      <c r="L443" s="30" t="s">
        <v>304</v>
      </c>
      <c r="M443" s="30" t="s">
        <v>305</v>
      </c>
      <c r="N443" s="42" t="s">
        <v>306</v>
      </c>
    </row>
    <row r="444" spans="1:14" x14ac:dyDescent="0.25">
      <c r="A444" s="87">
        <v>101</v>
      </c>
      <c r="B444" s="80" t="s">
        <v>154</v>
      </c>
      <c r="C444" s="91">
        <v>5.77</v>
      </c>
      <c r="D444" s="91">
        <v>5.36</v>
      </c>
      <c r="E444" s="91">
        <v>4.4800000000000004</v>
      </c>
      <c r="F444" s="91">
        <v>3.47</v>
      </c>
      <c r="G444" s="91">
        <v>2.42</v>
      </c>
      <c r="H444" s="91">
        <v>1.83</v>
      </c>
      <c r="I444" s="91">
        <v>2.1</v>
      </c>
      <c r="J444" s="91">
        <v>2.68</v>
      </c>
      <c r="K444" s="91">
        <v>3.2</v>
      </c>
      <c r="L444" s="91">
        <v>4.29</v>
      </c>
      <c r="M444" s="91">
        <v>5.33</v>
      </c>
      <c r="N444" s="92">
        <v>5.39</v>
      </c>
    </row>
    <row r="445" spans="1:14" x14ac:dyDescent="0.25">
      <c r="A445" s="171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72"/>
    </row>
    <row r="446" spans="1:14" ht="18.75" x14ac:dyDescent="0.25">
      <c r="A446" s="173" t="s">
        <v>309</v>
      </c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74"/>
    </row>
    <row r="447" spans="1:14" x14ac:dyDescent="0.25">
      <c r="A447" s="175" t="s">
        <v>292</v>
      </c>
      <c r="B447" s="150" t="s">
        <v>293</v>
      </c>
      <c r="C447" s="150" t="s">
        <v>1</v>
      </c>
      <c r="D447" s="150" t="s">
        <v>2</v>
      </c>
      <c r="E447" s="150" t="s">
        <v>310</v>
      </c>
      <c r="F447" s="150"/>
      <c r="G447" s="150"/>
      <c r="H447" s="150"/>
      <c r="I447" s="30"/>
      <c r="J447" s="30"/>
      <c r="K447" s="30"/>
      <c r="L447" s="30"/>
      <c r="M447" s="30"/>
      <c r="N447" s="42"/>
    </row>
    <row r="448" spans="1:14" x14ac:dyDescent="0.25">
      <c r="A448" s="175"/>
      <c r="B448" s="150"/>
      <c r="C448" s="150"/>
      <c r="D448" s="150"/>
      <c r="E448" s="30" t="s">
        <v>292</v>
      </c>
      <c r="F448" s="30" t="s">
        <v>293</v>
      </c>
      <c r="G448" s="30" t="s">
        <v>1</v>
      </c>
      <c r="H448" s="30" t="s">
        <v>2</v>
      </c>
      <c r="I448" s="30"/>
      <c r="J448" s="30"/>
      <c r="K448" s="30"/>
      <c r="L448" s="30"/>
      <c r="M448" s="30"/>
      <c r="N448" s="42"/>
    </row>
    <row r="449" spans="1:14" x14ac:dyDescent="0.25">
      <c r="A449" s="90" t="s">
        <v>153</v>
      </c>
      <c r="B449" s="80" t="s">
        <v>453</v>
      </c>
      <c r="C449" s="85">
        <v>-27.14</v>
      </c>
      <c r="D449" s="85">
        <v>-49.52</v>
      </c>
      <c r="E449" s="85"/>
      <c r="F449" s="85"/>
      <c r="G449" s="85"/>
      <c r="H449" s="85"/>
      <c r="I449" s="81"/>
      <c r="J449" s="81"/>
      <c r="K449" s="81"/>
      <c r="L449" s="81"/>
      <c r="M449" s="81"/>
      <c r="N449" s="111"/>
    </row>
    <row r="450" spans="1:14" x14ac:dyDescent="0.25">
      <c r="A450" s="171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72"/>
    </row>
    <row r="451" spans="1:14" ht="18.75" x14ac:dyDescent="0.25">
      <c r="A451" s="173" t="s">
        <v>311</v>
      </c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74"/>
    </row>
    <row r="452" spans="1:14" x14ac:dyDescent="0.25">
      <c r="A452" s="175" t="s">
        <v>292</v>
      </c>
      <c r="B452" s="150" t="s">
        <v>293</v>
      </c>
      <c r="C452" s="151" t="s">
        <v>312</v>
      </c>
      <c r="D452" s="152"/>
      <c r="E452" s="152"/>
      <c r="F452" s="153"/>
      <c r="G452" s="151" t="s">
        <v>313</v>
      </c>
      <c r="H452" s="152"/>
      <c r="I452" s="152"/>
      <c r="J452" s="153"/>
      <c r="K452" s="30"/>
      <c r="L452" s="30"/>
      <c r="M452" s="30"/>
      <c r="N452" s="42"/>
    </row>
    <row r="453" spans="1:14" x14ac:dyDescent="0.25">
      <c r="A453" s="175"/>
      <c r="B453" s="150"/>
      <c r="C453" s="154"/>
      <c r="D453" s="155"/>
      <c r="E453" s="155"/>
      <c r="F453" s="156"/>
      <c r="G453" s="154"/>
      <c r="H453" s="155"/>
      <c r="I453" s="155"/>
      <c r="J453" s="156"/>
      <c r="K453" s="30"/>
      <c r="L453" s="30"/>
      <c r="M453" s="30"/>
      <c r="N453" s="42"/>
    </row>
    <row r="454" spans="1:14" ht="15.75" thickBot="1" x14ac:dyDescent="0.3">
      <c r="A454" s="49"/>
      <c r="B454" s="50"/>
      <c r="C454" s="177"/>
      <c r="D454" s="177"/>
      <c r="E454" s="177"/>
      <c r="F454" s="177"/>
      <c r="G454" s="177"/>
      <c r="H454" s="177"/>
      <c r="I454" s="177"/>
      <c r="J454" s="177"/>
      <c r="K454" s="51"/>
      <c r="L454" s="51"/>
      <c r="M454" s="51"/>
      <c r="N454" s="52"/>
    </row>
    <row r="455" spans="1:14" ht="15.75" thickTop="1" x14ac:dyDescent="0.25"/>
  </sheetData>
  <mergeCells count="531">
    <mergeCell ref="D405:D406"/>
    <mergeCell ref="E405:H405"/>
    <mergeCell ref="A408:N408"/>
    <mergeCell ref="A409:N409"/>
    <mergeCell ref="A410:A411"/>
    <mergeCell ref="B410:B411"/>
    <mergeCell ref="C410:F411"/>
    <mergeCell ref="G410:J411"/>
    <mergeCell ref="C412:F412"/>
    <mergeCell ref="G412:J412"/>
    <mergeCell ref="A450:N450"/>
    <mergeCell ref="A451:N451"/>
    <mergeCell ref="A452:A453"/>
    <mergeCell ref="B452:B453"/>
    <mergeCell ref="C452:F453"/>
    <mergeCell ref="G452:J453"/>
    <mergeCell ref="C454:F454"/>
    <mergeCell ref="G454:J454"/>
    <mergeCell ref="A442:A443"/>
    <mergeCell ref="B442:B443"/>
    <mergeCell ref="C442:N442"/>
    <mergeCell ref="A445:N445"/>
    <mergeCell ref="A446:N446"/>
    <mergeCell ref="A447:A448"/>
    <mergeCell ref="B447:B448"/>
    <mergeCell ref="C447:C448"/>
    <mergeCell ref="D447:D448"/>
    <mergeCell ref="E447:H447"/>
    <mergeCell ref="C433:F433"/>
    <mergeCell ref="G433:J433"/>
    <mergeCell ref="A435:N435"/>
    <mergeCell ref="A436:N436"/>
    <mergeCell ref="A437:N437"/>
    <mergeCell ref="A438:A439"/>
    <mergeCell ref="B438:B439"/>
    <mergeCell ref="C438:N438"/>
    <mergeCell ref="A441:N441"/>
    <mergeCell ref="A426:A427"/>
    <mergeCell ref="B426:B427"/>
    <mergeCell ref="C426:C427"/>
    <mergeCell ref="D426:D427"/>
    <mergeCell ref="E426:H426"/>
    <mergeCell ref="A429:N429"/>
    <mergeCell ref="A430:N430"/>
    <mergeCell ref="A431:A432"/>
    <mergeCell ref="B431:B432"/>
    <mergeCell ref="C431:F432"/>
    <mergeCell ref="G431:J432"/>
    <mergeCell ref="A417:A418"/>
    <mergeCell ref="B417:B418"/>
    <mergeCell ref="C417:N417"/>
    <mergeCell ref="A420:N420"/>
    <mergeCell ref="A421:A422"/>
    <mergeCell ref="B421:B422"/>
    <mergeCell ref="C421:N421"/>
    <mergeCell ref="A424:N424"/>
    <mergeCell ref="A425:N425"/>
    <mergeCell ref="A389:A390"/>
    <mergeCell ref="B389:B390"/>
    <mergeCell ref="C389:F390"/>
    <mergeCell ref="G389:J390"/>
    <mergeCell ref="C391:F391"/>
    <mergeCell ref="G391:J391"/>
    <mergeCell ref="A414:N414"/>
    <mergeCell ref="A415:N415"/>
    <mergeCell ref="A416:N416"/>
    <mergeCell ref="A393:N393"/>
    <mergeCell ref="A394:N394"/>
    <mergeCell ref="A395:N395"/>
    <mergeCell ref="A396:A397"/>
    <mergeCell ref="B396:B397"/>
    <mergeCell ref="C396:N396"/>
    <mergeCell ref="A399:N399"/>
    <mergeCell ref="A400:A401"/>
    <mergeCell ref="B400:B401"/>
    <mergeCell ref="C400:N400"/>
    <mergeCell ref="A403:N403"/>
    <mergeCell ref="A404:N404"/>
    <mergeCell ref="A405:A406"/>
    <mergeCell ref="B405:B406"/>
    <mergeCell ref="C405:C406"/>
    <mergeCell ref="A382:N382"/>
    <mergeCell ref="A383:N383"/>
    <mergeCell ref="A384:A385"/>
    <mergeCell ref="B384:B385"/>
    <mergeCell ref="C384:C385"/>
    <mergeCell ref="D384:D385"/>
    <mergeCell ref="E384:H384"/>
    <mergeCell ref="A387:N387"/>
    <mergeCell ref="A388:N388"/>
    <mergeCell ref="A372:N372"/>
    <mergeCell ref="A373:N373"/>
    <mergeCell ref="A374:A375"/>
    <mergeCell ref="B374:B375"/>
    <mergeCell ref="C374:N374"/>
    <mergeCell ref="A378:N378"/>
    <mergeCell ref="A379:A380"/>
    <mergeCell ref="B379:B380"/>
    <mergeCell ref="C379:N379"/>
    <mergeCell ref="A365:N365"/>
    <mergeCell ref="A366:N366"/>
    <mergeCell ref="A367:A368"/>
    <mergeCell ref="B367:B368"/>
    <mergeCell ref="C367:F368"/>
    <mergeCell ref="G367:J368"/>
    <mergeCell ref="C369:F369"/>
    <mergeCell ref="G369:J369"/>
    <mergeCell ref="A371:N371"/>
    <mergeCell ref="A357:A358"/>
    <mergeCell ref="B357:B358"/>
    <mergeCell ref="C357:N357"/>
    <mergeCell ref="A360:N360"/>
    <mergeCell ref="A361:N361"/>
    <mergeCell ref="A362:A363"/>
    <mergeCell ref="B362:B363"/>
    <mergeCell ref="C362:C363"/>
    <mergeCell ref="D362:D363"/>
    <mergeCell ref="E362:H362"/>
    <mergeCell ref="C348:F348"/>
    <mergeCell ref="G348:J348"/>
    <mergeCell ref="A350:N350"/>
    <mergeCell ref="A351:N351"/>
    <mergeCell ref="A352:N352"/>
    <mergeCell ref="A353:A354"/>
    <mergeCell ref="B353:B354"/>
    <mergeCell ref="C353:N353"/>
    <mergeCell ref="A356:N356"/>
    <mergeCell ref="A341:A342"/>
    <mergeCell ref="B341:B342"/>
    <mergeCell ref="C341:C342"/>
    <mergeCell ref="D341:D342"/>
    <mergeCell ref="E341:H341"/>
    <mergeCell ref="A344:N344"/>
    <mergeCell ref="A345:N345"/>
    <mergeCell ref="A346:A347"/>
    <mergeCell ref="B346:B347"/>
    <mergeCell ref="C346:F347"/>
    <mergeCell ref="G346:J347"/>
    <mergeCell ref="A330:A331"/>
    <mergeCell ref="B330:B331"/>
    <mergeCell ref="C330:N330"/>
    <mergeCell ref="A335:N335"/>
    <mergeCell ref="A336:A337"/>
    <mergeCell ref="B336:B337"/>
    <mergeCell ref="C336:N336"/>
    <mergeCell ref="A339:N339"/>
    <mergeCell ref="A340:N340"/>
    <mergeCell ref="A323:A324"/>
    <mergeCell ref="B323:B324"/>
    <mergeCell ref="C323:F324"/>
    <mergeCell ref="G323:J324"/>
    <mergeCell ref="C325:F325"/>
    <mergeCell ref="G325:J325"/>
    <mergeCell ref="A327:N327"/>
    <mergeCell ref="A328:N328"/>
    <mergeCell ref="A329:N329"/>
    <mergeCell ref="A316:N316"/>
    <mergeCell ref="A317:N317"/>
    <mergeCell ref="A318:A319"/>
    <mergeCell ref="B318:B319"/>
    <mergeCell ref="C318:C319"/>
    <mergeCell ref="D318:D319"/>
    <mergeCell ref="E318:H318"/>
    <mergeCell ref="A321:N321"/>
    <mergeCell ref="A322:N322"/>
    <mergeCell ref="A307:N307"/>
    <mergeCell ref="A308:N308"/>
    <mergeCell ref="A309:A310"/>
    <mergeCell ref="B309:B310"/>
    <mergeCell ref="C309:N309"/>
    <mergeCell ref="A312:N312"/>
    <mergeCell ref="A313:A314"/>
    <mergeCell ref="B313:B314"/>
    <mergeCell ref="C313:N313"/>
    <mergeCell ref="A300:N300"/>
    <mergeCell ref="A301:N301"/>
    <mergeCell ref="A302:A303"/>
    <mergeCell ref="B302:B303"/>
    <mergeCell ref="C302:F303"/>
    <mergeCell ref="G302:J303"/>
    <mergeCell ref="C304:F304"/>
    <mergeCell ref="G304:J304"/>
    <mergeCell ref="A306:N306"/>
    <mergeCell ref="A292:A293"/>
    <mergeCell ref="B292:B293"/>
    <mergeCell ref="C292:N292"/>
    <mergeCell ref="A295:N295"/>
    <mergeCell ref="A296:N296"/>
    <mergeCell ref="A297:A298"/>
    <mergeCell ref="B297:B298"/>
    <mergeCell ref="C297:C298"/>
    <mergeCell ref="D297:D298"/>
    <mergeCell ref="E297:H297"/>
    <mergeCell ref="C283:F283"/>
    <mergeCell ref="G283:J283"/>
    <mergeCell ref="A285:N285"/>
    <mergeCell ref="A286:N286"/>
    <mergeCell ref="A287:N287"/>
    <mergeCell ref="A288:A289"/>
    <mergeCell ref="B288:B289"/>
    <mergeCell ref="C288:N288"/>
    <mergeCell ref="A291:N291"/>
    <mergeCell ref="A276:A277"/>
    <mergeCell ref="B276:B277"/>
    <mergeCell ref="C276:C277"/>
    <mergeCell ref="D276:D277"/>
    <mergeCell ref="E276:H276"/>
    <mergeCell ref="A279:N279"/>
    <mergeCell ref="A280:N280"/>
    <mergeCell ref="A281:A282"/>
    <mergeCell ref="B281:B282"/>
    <mergeCell ref="C281:F282"/>
    <mergeCell ref="G281:J282"/>
    <mergeCell ref="A266:A267"/>
    <mergeCell ref="B266:B267"/>
    <mergeCell ref="C266:N266"/>
    <mergeCell ref="A270:N270"/>
    <mergeCell ref="A271:A272"/>
    <mergeCell ref="B271:B272"/>
    <mergeCell ref="C271:N271"/>
    <mergeCell ref="A274:N274"/>
    <mergeCell ref="A275:N275"/>
    <mergeCell ref="A259:A260"/>
    <mergeCell ref="B259:B260"/>
    <mergeCell ref="C259:F260"/>
    <mergeCell ref="G259:J260"/>
    <mergeCell ref="C261:F261"/>
    <mergeCell ref="G261:J261"/>
    <mergeCell ref="A263:N263"/>
    <mergeCell ref="A264:N264"/>
    <mergeCell ref="A265:N265"/>
    <mergeCell ref="A252:N252"/>
    <mergeCell ref="A253:N253"/>
    <mergeCell ref="A254:A255"/>
    <mergeCell ref="B254:B255"/>
    <mergeCell ref="C254:C255"/>
    <mergeCell ref="D254:D255"/>
    <mergeCell ref="E254:H254"/>
    <mergeCell ref="A257:N257"/>
    <mergeCell ref="A258:N258"/>
    <mergeCell ref="A243:N243"/>
    <mergeCell ref="A244:N244"/>
    <mergeCell ref="A245:A246"/>
    <mergeCell ref="B245:B246"/>
    <mergeCell ref="C245:N245"/>
    <mergeCell ref="A248:N248"/>
    <mergeCell ref="A249:A250"/>
    <mergeCell ref="B249:B250"/>
    <mergeCell ref="C249:N249"/>
    <mergeCell ref="A236:N236"/>
    <mergeCell ref="A237:N237"/>
    <mergeCell ref="A238:A239"/>
    <mergeCell ref="B238:B239"/>
    <mergeCell ref="C238:F239"/>
    <mergeCell ref="G238:J239"/>
    <mergeCell ref="C240:F240"/>
    <mergeCell ref="G240:J240"/>
    <mergeCell ref="A242:N242"/>
    <mergeCell ref="A227:N227"/>
    <mergeCell ref="A228:A229"/>
    <mergeCell ref="B228:B229"/>
    <mergeCell ref="C228:N228"/>
    <mergeCell ref="A231:N231"/>
    <mergeCell ref="A232:N232"/>
    <mergeCell ref="A233:A234"/>
    <mergeCell ref="B233:B234"/>
    <mergeCell ref="C233:C234"/>
    <mergeCell ref="D233:D234"/>
    <mergeCell ref="E233:H233"/>
    <mergeCell ref="C219:F219"/>
    <mergeCell ref="G219:J219"/>
    <mergeCell ref="A220:N220"/>
    <mergeCell ref="A221:N221"/>
    <mergeCell ref="A222:N222"/>
    <mergeCell ref="A223:N223"/>
    <mergeCell ref="A224:A225"/>
    <mergeCell ref="B224:B225"/>
    <mergeCell ref="C224:N224"/>
    <mergeCell ref="A212:A213"/>
    <mergeCell ref="B212:B213"/>
    <mergeCell ref="C212:C213"/>
    <mergeCell ref="D212:D213"/>
    <mergeCell ref="E212:H212"/>
    <mergeCell ref="A215:N215"/>
    <mergeCell ref="A216:N216"/>
    <mergeCell ref="A217:A218"/>
    <mergeCell ref="B217:B218"/>
    <mergeCell ref="C217:F218"/>
    <mergeCell ref="G217:J218"/>
    <mergeCell ref="A202:A203"/>
    <mergeCell ref="B202:B203"/>
    <mergeCell ref="C202:N202"/>
    <mergeCell ref="A206:N206"/>
    <mergeCell ref="A207:A208"/>
    <mergeCell ref="B207:B208"/>
    <mergeCell ref="C207:N207"/>
    <mergeCell ref="A210:N210"/>
    <mergeCell ref="A211:N211"/>
    <mergeCell ref="A195:A196"/>
    <mergeCell ref="B195:B196"/>
    <mergeCell ref="C195:F196"/>
    <mergeCell ref="G195:J196"/>
    <mergeCell ref="C197:F197"/>
    <mergeCell ref="G197:J197"/>
    <mergeCell ref="A199:N199"/>
    <mergeCell ref="A200:N200"/>
    <mergeCell ref="A201:N201"/>
    <mergeCell ref="A188:N188"/>
    <mergeCell ref="A189:N189"/>
    <mergeCell ref="A190:A191"/>
    <mergeCell ref="B190:B191"/>
    <mergeCell ref="C190:C191"/>
    <mergeCell ref="D190:D191"/>
    <mergeCell ref="E190:H190"/>
    <mergeCell ref="A193:N193"/>
    <mergeCell ref="A194:N194"/>
    <mergeCell ref="A179:N179"/>
    <mergeCell ref="A180:N180"/>
    <mergeCell ref="A181:A182"/>
    <mergeCell ref="B181:B182"/>
    <mergeCell ref="C181:N181"/>
    <mergeCell ref="A184:N184"/>
    <mergeCell ref="A185:A186"/>
    <mergeCell ref="B185:B186"/>
    <mergeCell ref="C185:N185"/>
    <mergeCell ref="A172:N172"/>
    <mergeCell ref="A173:N173"/>
    <mergeCell ref="A174:A175"/>
    <mergeCell ref="B174:B175"/>
    <mergeCell ref="C174:F175"/>
    <mergeCell ref="G174:J175"/>
    <mergeCell ref="C176:F176"/>
    <mergeCell ref="G176:J176"/>
    <mergeCell ref="A178:N178"/>
    <mergeCell ref="A164:A165"/>
    <mergeCell ref="B164:B165"/>
    <mergeCell ref="C164:N164"/>
    <mergeCell ref="A167:N167"/>
    <mergeCell ref="A168:N168"/>
    <mergeCell ref="A169:A170"/>
    <mergeCell ref="B169:B170"/>
    <mergeCell ref="C169:C170"/>
    <mergeCell ref="D169:D170"/>
    <mergeCell ref="E169:H169"/>
    <mergeCell ref="C155:F155"/>
    <mergeCell ref="G155:J155"/>
    <mergeCell ref="A157:N157"/>
    <mergeCell ref="A158:N158"/>
    <mergeCell ref="A159:N159"/>
    <mergeCell ref="A160:A161"/>
    <mergeCell ref="B160:B161"/>
    <mergeCell ref="C160:N160"/>
    <mergeCell ref="A163:N163"/>
    <mergeCell ref="A148:A149"/>
    <mergeCell ref="B148:B149"/>
    <mergeCell ref="C148:C149"/>
    <mergeCell ref="D148:D149"/>
    <mergeCell ref="E148:H148"/>
    <mergeCell ref="A151:N151"/>
    <mergeCell ref="A152:N152"/>
    <mergeCell ref="A153:A154"/>
    <mergeCell ref="B153:B154"/>
    <mergeCell ref="C153:F154"/>
    <mergeCell ref="G153:J154"/>
    <mergeCell ref="A137:A138"/>
    <mergeCell ref="B137:B138"/>
    <mergeCell ref="C137:N137"/>
    <mergeCell ref="A142:N142"/>
    <mergeCell ref="A143:A144"/>
    <mergeCell ref="B143:B144"/>
    <mergeCell ref="C143:N143"/>
    <mergeCell ref="A146:N146"/>
    <mergeCell ref="A147:N147"/>
    <mergeCell ref="A130:A131"/>
    <mergeCell ref="B130:B131"/>
    <mergeCell ref="C130:F131"/>
    <mergeCell ref="G130:J131"/>
    <mergeCell ref="C132:F132"/>
    <mergeCell ref="G132:J132"/>
    <mergeCell ref="A134:N134"/>
    <mergeCell ref="A135:N135"/>
    <mergeCell ref="A136:N136"/>
    <mergeCell ref="A123:N123"/>
    <mergeCell ref="A124:N124"/>
    <mergeCell ref="A125:A126"/>
    <mergeCell ref="B125:B126"/>
    <mergeCell ref="C125:C126"/>
    <mergeCell ref="D125:D126"/>
    <mergeCell ref="E125:H125"/>
    <mergeCell ref="A128:N128"/>
    <mergeCell ref="A129:N129"/>
    <mergeCell ref="A113:N113"/>
    <mergeCell ref="A114:N114"/>
    <mergeCell ref="A115:N115"/>
    <mergeCell ref="A116:A117"/>
    <mergeCell ref="B116:B117"/>
    <mergeCell ref="C116:N116"/>
    <mergeCell ref="A119:N119"/>
    <mergeCell ref="A120:A121"/>
    <mergeCell ref="B120:B121"/>
    <mergeCell ref="C120:N120"/>
    <mergeCell ref="A8:N8"/>
    <mergeCell ref="A9:A10"/>
    <mergeCell ref="B9:B10"/>
    <mergeCell ref="C9:N9"/>
    <mergeCell ref="A12:N12"/>
    <mergeCell ref="A13:N13"/>
    <mergeCell ref="A1:N1"/>
    <mergeCell ref="A2:N2"/>
    <mergeCell ref="A3:N3"/>
    <mergeCell ref="A4:N4"/>
    <mergeCell ref="A5:A6"/>
    <mergeCell ref="B5:B6"/>
    <mergeCell ref="C5:N5"/>
    <mergeCell ref="A18:N18"/>
    <mergeCell ref="A19:A20"/>
    <mergeCell ref="B19:B20"/>
    <mergeCell ref="C19:F20"/>
    <mergeCell ref="G19:J20"/>
    <mergeCell ref="C21:F21"/>
    <mergeCell ref="G21:J21"/>
    <mergeCell ref="A14:A15"/>
    <mergeCell ref="B14:B15"/>
    <mergeCell ref="C14:C15"/>
    <mergeCell ref="D14:D15"/>
    <mergeCell ref="E14:H14"/>
    <mergeCell ref="A17:N17"/>
    <mergeCell ref="A29:N29"/>
    <mergeCell ref="A30:A31"/>
    <mergeCell ref="B30:B31"/>
    <mergeCell ref="C30:N30"/>
    <mergeCell ref="A33:N33"/>
    <mergeCell ref="A34:N34"/>
    <mergeCell ref="A22:N22"/>
    <mergeCell ref="A23:N23"/>
    <mergeCell ref="A24:N24"/>
    <mergeCell ref="A25:N25"/>
    <mergeCell ref="A26:A27"/>
    <mergeCell ref="B26:B27"/>
    <mergeCell ref="C26:N26"/>
    <mergeCell ref="A39:N39"/>
    <mergeCell ref="A40:A41"/>
    <mergeCell ref="B40:B41"/>
    <mergeCell ref="C40:F41"/>
    <mergeCell ref="G40:J41"/>
    <mergeCell ref="C42:F42"/>
    <mergeCell ref="G42:J42"/>
    <mergeCell ref="A35:A36"/>
    <mergeCell ref="B35:B36"/>
    <mergeCell ref="C35:C36"/>
    <mergeCell ref="D35:D36"/>
    <mergeCell ref="E35:H35"/>
    <mergeCell ref="A38:N38"/>
    <mergeCell ref="A50:N50"/>
    <mergeCell ref="A51:A52"/>
    <mergeCell ref="B51:B52"/>
    <mergeCell ref="C51:N51"/>
    <mergeCell ref="A54:N54"/>
    <mergeCell ref="A55:N55"/>
    <mergeCell ref="A43:N43"/>
    <mergeCell ref="A44:N44"/>
    <mergeCell ref="A45:N45"/>
    <mergeCell ref="A46:N46"/>
    <mergeCell ref="A47:A48"/>
    <mergeCell ref="B47:B48"/>
    <mergeCell ref="C47:N47"/>
    <mergeCell ref="A60:N60"/>
    <mergeCell ref="A61:A62"/>
    <mergeCell ref="B61:B62"/>
    <mergeCell ref="C61:F62"/>
    <mergeCell ref="G61:J62"/>
    <mergeCell ref="C63:F63"/>
    <mergeCell ref="G63:J63"/>
    <mergeCell ref="A56:A57"/>
    <mergeCell ref="B56:B57"/>
    <mergeCell ref="C56:C57"/>
    <mergeCell ref="D56:D57"/>
    <mergeCell ref="E56:H56"/>
    <mergeCell ref="A59:N59"/>
    <mergeCell ref="A74:N74"/>
    <mergeCell ref="A75:A76"/>
    <mergeCell ref="B75:B76"/>
    <mergeCell ref="C75:N75"/>
    <mergeCell ref="A78:N78"/>
    <mergeCell ref="A79:N79"/>
    <mergeCell ref="A64:N64"/>
    <mergeCell ref="A65:N65"/>
    <mergeCell ref="A66:N66"/>
    <mergeCell ref="A67:N67"/>
    <mergeCell ref="A68:A69"/>
    <mergeCell ref="B68:B69"/>
    <mergeCell ref="C68:N68"/>
    <mergeCell ref="A84:N84"/>
    <mergeCell ref="A85:A86"/>
    <mergeCell ref="B85:B86"/>
    <mergeCell ref="C85:F86"/>
    <mergeCell ref="G85:J86"/>
    <mergeCell ref="C87:F87"/>
    <mergeCell ref="G87:J87"/>
    <mergeCell ref="A80:A81"/>
    <mergeCell ref="B80:B81"/>
    <mergeCell ref="C80:C81"/>
    <mergeCell ref="D80:D81"/>
    <mergeCell ref="E80:H80"/>
    <mergeCell ref="A83:N83"/>
    <mergeCell ref="A98:N98"/>
    <mergeCell ref="A99:A100"/>
    <mergeCell ref="B99:B100"/>
    <mergeCell ref="C99:N99"/>
    <mergeCell ref="A102:N102"/>
    <mergeCell ref="A103:N103"/>
    <mergeCell ref="A88:N88"/>
    <mergeCell ref="A89:N89"/>
    <mergeCell ref="A90:N90"/>
    <mergeCell ref="A91:N91"/>
    <mergeCell ref="A92:A93"/>
    <mergeCell ref="B92:B93"/>
    <mergeCell ref="C92:N92"/>
    <mergeCell ref="A108:N108"/>
    <mergeCell ref="A109:A110"/>
    <mergeCell ref="B109:B110"/>
    <mergeCell ref="C109:F110"/>
    <mergeCell ref="G109:J110"/>
    <mergeCell ref="C111:F111"/>
    <mergeCell ref="G111:J111"/>
    <mergeCell ref="A104:A105"/>
    <mergeCell ref="B104:B105"/>
    <mergeCell ref="C104:C105"/>
    <mergeCell ref="D104:D105"/>
    <mergeCell ref="E104:H104"/>
    <mergeCell ref="A107:N107"/>
  </mergeCells>
  <pageMargins left="0.511811024" right="0.511811024" top="0.78740157499999996" bottom="0.78740157499999996" header="0.31496062000000002" footer="0.31496062000000002"/>
  <pageSetup paperSize="9" scale="8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A1:Q207"/>
  <sheetViews>
    <sheetView topLeftCell="A190" zoomScale="85" zoomScaleNormal="85" workbookViewId="0">
      <selection activeCell="T154" sqref="T154"/>
    </sheetView>
  </sheetViews>
  <sheetFormatPr defaultRowHeight="15" x14ac:dyDescent="0.25"/>
  <cols>
    <col min="1" max="1" width="18.28515625" customWidth="1"/>
    <col min="2" max="2" width="27.42578125" customWidth="1"/>
  </cols>
  <sheetData>
    <row r="1" spans="1:14" ht="15.75" thickTop="1" x14ac:dyDescent="0.25">
      <c r="A1" s="217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9"/>
    </row>
    <row r="2" spans="1:14" ht="18.75" x14ac:dyDescent="0.25">
      <c r="A2" s="212" t="s">
        <v>454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213"/>
    </row>
    <row r="3" spans="1:14" x14ac:dyDescent="0.25">
      <c r="A3" s="215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216"/>
    </row>
    <row r="4" spans="1:14" ht="18.75" x14ac:dyDescent="0.25">
      <c r="A4" s="209" t="s">
        <v>291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210"/>
    </row>
    <row r="5" spans="1:14" x14ac:dyDescent="0.25">
      <c r="A5" s="211" t="s">
        <v>292</v>
      </c>
      <c r="B5" s="150" t="s">
        <v>293</v>
      </c>
      <c r="C5" s="157" t="s">
        <v>294</v>
      </c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214"/>
    </row>
    <row r="6" spans="1:14" x14ac:dyDescent="0.25">
      <c r="A6" s="211"/>
      <c r="B6" s="150"/>
      <c r="C6" s="30" t="s">
        <v>295</v>
      </c>
      <c r="D6" s="30" t="s">
        <v>296</v>
      </c>
      <c r="E6" s="30" t="s">
        <v>297</v>
      </c>
      <c r="F6" s="30" t="s">
        <v>298</v>
      </c>
      <c r="G6" s="30" t="s">
        <v>299</v>
      </c>
      <c r="H6" s="30" t="s">
        <v>300</v>
      </c>
      <c r="I6" s="30" t="s">
        <v>301</v>
      </c>
      <c r="J6" s="30" t="s">
        <v>302</v>
      </c>
      <c r="K6" s="30" t="s">
        <v>303</v>
      </c>
      <c r="L6" s="30" t="s">
        <v>304</v>
      </c>
      <c r="M6" s="30" t="s">
        <v>305</v>
      </c>
      <c r="N6" s="59" t="s">
        <v>306</v>
      </c>
    </row>
    <row r="7" spans="1:14" x14ac:dyDescent="0.25">
      <c r="A7" s="60">
        <v>155</v>
      </c>
      <c r="B7" s="5" t="s">
        <v>80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1"/>
    </row>
    <row r="8" spans="1:14" x14ac:dyDescent="0.25">
      <c r="A8" s="215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216"/>
    </row>
    <row r="9" spans="1:14" x14ac:dyDescent="0.25">
      <c r="A9" s="211" t="s">
        <v>292</v>
      </c>
      <c r="B9" s="150" t="s">
        <v>293</v>
      </c>
      <c r="C9" s="157" t="s">
        <v>308</v>
      </c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214"/>
    </row>
    <row r="10" spans="1:14" x14ac:dyDescent="0.25">
      <c r="A10" s="211"/>
      <c r="B10" s="150"/>
      <c r="C10" s="30" t="s">
        <v>295</v>
      </c>
      <c r="D10" s="30" t="s">
        <v>296</v>
      </c>
      <c r="E10" s="30" t="s">
        <v>297</v>
      </c>
      <c r="F10" s="30" t="s">
        <v>298</v>
      </c>
      <c r="G10" s="30" t="s">
        <v>299</v>
      </c>
      <c r="H10" s="30" t="s">
        <v>300</v>
      </c>
      <c r="I10" s="30" t="s">
        <v>301</v>
      </c>
      <c r="J10" s="30" t="s">
        <v>302</v>
      </c>
      <c r="K10" s="30" t="s">
        <v>303</v>
      </c>
      <c r="L10" s="30" t="s">
        <v>304</v>
      </c>
      <c r="M10" s="30" t="s">
        <v>305</v>
      </c>
      <c r="N10" s="59" t="s">
        <v>306</v>
      </c>
    </row>
    <row r="11" spans="1:14" x14ac:dyDescent="0.25">
      <c r="A11" s="60">
        <v>155</v>
      </c>
      <c r="B11" s="5" t="s">
        <v>80</v>
      </c>
      <c r="C11" s="29">
        <v>8.6199999999999992</v>
      </c>
      <c r="D11" s="29">
        <v>5.19</v>
      </c>
      <c r="E11" s="29">
        <v>3.95</v>
      </c>
      <c r="F11" s="29">
        <v>1.91</v>
      </c>
      <c r="G11" s="29">
        <v>1.08</v>
      </c>
      <c r="H11" s="29">
        <v>0.41</v>
      </c>
      <c r="I11" s="29">
        <v>0.47</v>
      </c>
      <c r="J11" s="29">
        <v>0.47</v>
      </c>
      <c r="K11" s="29">
        <v>1.1599999999999999</v>
      </c>
      <c r="L11" s="29">
        <v>3.44</v>
      </c>
      <c r="M11" s="29">
        <v>5.78</v>
      </c>
      <c r="N11" s="62">
        <v>8.0299999999999994</v>
      </c>
    </row>
    <row r="12" spans="1:14" x14ac:dyDescent="0.25">
      <c r="A12" s="215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216"/>
    </row>
    <row r="13" spans="1:14" ht="18.75" x14ac:dyDescent="0.25">
      <c r="A13" s="209" t="s">
        <v>309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210"/>
    </row>
    <row r="14" spans="1:14" x14ac:dyDescent="0.25">
      <c r="A14" s="211" t="s">
        <v>292</v>
      </c>
      <c r="B14" s="150" t="s">
        <v>293</v>
      </c>
      <c r="C14" s="150" t="s">
        <v>1</v>
      </c>
      <c r="D14" s="150" t="s">
        <v>2</v>
      </c>
      <c r="E14" s="150" t="s">
        <v>310</v>
      </c>
      <c r="F14" s="150"/>
      <c r="G14" s="150"/>
      <c r="H14" s="150"/>
      <c r="I14" s="30"/>
      <c r="J14" s="30"/>
      <c r="K14" s="30"/>
      <c r="L14" s="30"/>
      <c r="M14" s="30"/>
      <c r="N14" s="59"/>
    </row>
    <row r="15" spans="1:14" x14ac:dyDescent="0.25">
      <c r="A15" s="211"/>
      <c r="B15" s="150"/>
      <c r="C15" s="150"/>
      <c r="D15" s="150"/>
      <c r="E15" s="30" t="s">
        <v>292</v>
      </c>
      <c r="F15" s="30" t="s">
        <v>293</v>
      </c>
      <c r="G15" s="30" t="s">
        <v>1</v>
      </c>
      <c r="H15" s="30" t="s">
        <v>2</v>
      </c>
      <c r="I15" s="30"/>
      <c r="J15" s="30"/>
      <c r="K15" s="30"/>
      <c r="L15" s="30"/>
      <c r="M15" s="30"/>
      <c r="N15" s="59"/>
    </row>
    <row r="16" spans="1:14" x14ac:dyDescent="0.25">
      <c r="A16" s="15" t="s">
        <v>79</v>
      </c>
      <c r="B16" s="5" t="s">
        <v>80</v>
      </c>
      <c r="C16" s="29">
        <v>-18.95</v>
      </c>
      <c r="D16" s="35">
        <v>-44.76</v>
      </c>
      <c r="E16" s="35"/>
      <c r="F16" s="26"/>
      <c r="G16" s="35"/>
      <c r="H16" s="35"/>
      <c r="I16" s="35"/>
      <c r="J16" s="35"/>
      <c r="K16" s="35"/>
      <c r="L16" s="35"/>
      <c r="M16" s="35"/>
      <c r="N16" s="64"/>
    </row>
    <row r="17" spans="1:14" x14ac:dyDescent="0.25">
      <c r="A17" s="215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216"/>
    </row>
    <row r="18" spans="1:14" ht="18.75" x14ac:dyDescent="0.25">
      <c r="A18" s="209" t="s">
        <v>311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210"/>
    </row>
    <row r="19" spans="1:14" x14ac:dyDescent="0.25">
      <c r="A19" s="211" t="s">
        <v>292</v>
      </c>
      <c r="B19" s="150" t="s">
        <v>293</v>
      </c>
      <c r="C19" s="151" t="s">
        <v>312</v>
      </c>
      <c r="D19" s="152"/>
      <c r="E19" s="152"/>
      <c r="F19" s="153"/>
      <c r="G19" s="151" t="s">
        <v>313</v>
      </c>
      <c r="H19" s="152"/>
      <c r="I19" s="152"/>
      <c r="J19" s="153"/>
      <c r="K19" s="30"/>
      <c r="L19" s="30"/>
      <c r="M19" s="30"/>
      <c r="N19" s="59"/>
    </row>
    <row r="20" spans="1:14" x14ac:dyDescent="0.25">
      <c r="A20" s="211"/>
      <c r="B20" s="150"/>
      <c r="C20" s="154"/>
      <c r="D20" s="155"/>
      <c r="E20" s="155"/>
      <c r="F20" s="156"/>
      <c r="G20" s="154"/>
      <c r="H20" s="155"/>
      <c r="I20" s="155"/>
      <c r="J20" s="156"/>
      <c r="K20" s="30"/>
      <c r="L20" s="30"/>
      <c r="M20" s="30"/>
      <c r="N20" s="59"/>
    </row>
    <row r="21" spans="1:14" x14ac:dyDescent="0.25">
      <c r="A21" s="63"/>
      <c r="B21" s="5"/>
      <c r="C21" s="164"/>
      <c r="D21" s="164"/>
      <c r="E21" s="164"/>
      <c r="F21" s="164"/>
      <c r="G21" s="164"/>
      <c r="H21" s="164"/>
      <c r="I21" s="164"/>
      <c r="J21" s="164"/>
      <c r="K21" s="35"/>
      <c r="L21" s="35"/>
      <c r="M21" s="35"/>
      <c r="N21" s="64"/>
    </row>
    <row r="22" spans="1:14" x14ac:dyDescent="0.25">
      <c r="A22" s="215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216"/>
    </row>
    <row r="23" spans="1:14" ht="18.75" x14ac:dyDescent="0.25">
      <c r="A23" s="212" t="s">
        <v>455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213"/>
    </row>
    <row r="24" spans="1:14" x14ac:dyDescent="0.25">
      <c r="A24" s="215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216"/>
    </row>
    <row r="25" spans="1:14" ht="18.75" x14ac:dyDescent="0.25">
      <c r="A25" s="209" t="s">
        <v>291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210"/>
    </row>
    <row r="26" spans="1:14" x14ac:dyDescent="0.25">
      <c r="A26" s="211" t="s">
        <v>292</v>
      </c>
      <c r="B26" s="150" t="s">
        <v>293</v>
      </c>
      <c r="C26" s="157" t="s">
        <v>294</v>
      </c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214"/>
    </row>
    <row r="27" spans="1:14" x14ac:dyDescent="0.25">
      <c r="A27" s="211"/>
      <c r="B27" s="150"/>
      <c r="C27" s="30" t="s">
        <v>295</v>
      </c>
      <c r="D27" s="30" t="s">
        <v>296</v>
      </c>
      <c r="E27" s="30" t="s">
        <v>297</v>
      </c>
      <c r="F27" s="30" t="s">
        <v>298</v>
      </c>
      <c r="G27" s="30" t="s">
        <v>299</v>
      </c>
      <c r="H27" s="30" t="s">
        <v>300</v>
      </c>
      <c r="I27" s="30" t="s">
        <v>301</v>
      </c>
      <c r="J27" s="30" t="s">
        <v>302</v>
      </c>
      <c r="K27" s="30" t="s">
        <v>303</v>
      </c>
      <c r="L27" s="30" t="s">
        <v>304</v>
      </c>
      <c r="M27" s="30" t="s">
        <v>305</v>
      </c>
      <c r="N27" s="59" t="s">
        <v>306</v>
      </c>
    </row>
    <row r="28" spans="1:14" x14ac:dyDescent="0.25">
      <c r="A28" s="60">
        <v>156</v>
      </c>
      <c r="B28" s="5" t="s">
        <v>86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1"/>
    </row>
    <row r="29" spans="1:14" x14ac:dyDescent="0.25">
      <c r="A29" s="215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216"/>
    </row>
    <row r="30" spans="1:14" x14ac:dyDescent="0.25">
      <c r="A30" s="211" t="s">
        <v>292</v>
      </c>
      <c r="B30" s="150" t="s">
        <v>293</v>
      </c>
      <c r="C30" s="157" t="s">
        <v>308</v>
      </c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214"/>
    </row>
    <row r="31" spans="1:14" x14ac:dyDescent="0.25">
      <c r="A31" s="211"/>
      <c r="B31" s="150"/>
      <c r="C31" s="30" t="s">
        <v>295</v>
      </c>
      <c r="D31" s="30" t="s">
        <v>296</v>
      </c>
      <c r="E31" s="30" t="s">
        <v>297</v>
      </c>
      <c r="F31" s="30" t="s">
        <v>298</v>
      </c>
      <c r="G31" s="30" t="s">
        <v>299</v>
      </c>
      <c r="H31" s="30" t="s">
        <v>300</v>
      </c>
      <c r="I31" s="30" t="s">
        <v>301</v>
      </c>
      <c r="J31" s="30" t="s">
        <v>302</v>
      </c>
      <c r="K31" s="30" t="s">
        <v>303</v>
      </c>
      <c r="L31" s="30" t="s">
        <v>304</v>
      </c>
      <c r="M31" s="30" t="s">
        <v>305</v>
      </c>
      <c r="N31" s="59" t="s">
        <v>306</v>
      </c>
    </row>
    <row r="32" spans="1:14" x14ac:dyDescent="0.25">
      <c r="A32" s="60">
        <v>156</v>
      </c>
      <c r="B32" s="5" t="s">
        <v>86</v>
      </c>
      <c r="C32" s="29">
        <v>5.35</v>
      </c>
      <c r="D32" s="29">
        <v>5.86</v>
      </c>
      <c r="E32" s="29">
        <v>5.26</v>
      </c>
      <c r="F32" s="29">
        <v>4.63</v>
      </c>
      <c r="G32" s="29">
        <v>4</v>
      </c>
      <c r="H32" s="29">
        <v>3.6</v>
      </c>
      <c r="I32" s="29">
        <v>4.16</v>
      </c>
      <c r="J32" s="29">
        <v>5.0999999999999996</v>
      </c>
      <c r="K32" s="29">
        <v>5.7</v>
      </c>
      <c r="L32" s="29">
        <v>5.84</v>
      </c>
      <c r="M32" s="29">
        <v>5.23</v>
      </c>
      <c r="N32" s="62">
        <v>4.87</v>
      </c>
    </row>
    <row r="33" spans="1:14" x14ac:dyDescent="0.25">
      <c r="A33" s="215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216"/>
    </row>
    <row r="34" spans="1:14" ht="18.75" x14ac:dyDescent="0.25">
      <c r="A34" s="209" t="s">
        <v>309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210"/>
    </row>
    <row r="35" spans="1:14" x14ac:dyDescent="0.25">
      <c r="A35" s="211" t="s">
        <v>292</v>
      </c>
      <c r="B35" s="150" t="s">
        <v>293</v>
      </c>
      <c r="C35" s="150" t="s">
        <v>1</v>
      </c>
      <c r="D35" s="150" t="s">
        <v>2</v>
      </c>
      <c r="E35" s="150" t="s">
        <v>310</v>
      </c>
      <c r="F35" s="150"/>
      <c r="G35" s="150"/>
      <c r="H35" s="150"/>
      <c r="I35" s="30"/>
      <c r="J35" s="30"/>
      <c r="K35" s="30"/>
      <c r="L35" s="30"/>
      <c r="M35" s="30"/>
      <c r="N35" s="59"/>
    </row>
    <row r="36" spans="1:14" x14ac:dyDescent="0.25">
      <c r="A36" s="211"/>
      <c r="B36" s="150"/>
      <c r="C36" s="150"/>
      <c r="D36" s="150"/>
      <c r="E36" s="30" t="s">
        <v>292</v>
      </c>
      <c r="F36" s="30" t="s">
        <v>293</v>
      </c>
      <c r="G36" s="30" t="s">
        <v>1</v>
      </c>
      <c r="H36" s="30" t="s">
        <v>2</v>
      </c>
      <c r="I36" s="30"/>
      <c r="J36" s="30"/>
      <c r="K36" s="30"/>
      <c r="L36" s="30"/>
      <c r="M36" s="30"/>
      <c r="N36" s="59"/>
    </row>
    <row r="37" spans="1:14" x14ac:dyDescent="0.25">
      <c r="A37" s="15" t="s">
        <v>85</v>
      </c>
      <c r="B37" s="5" t="s">
        <v>86</v>
      </c>
      <c r="C37" s="29">
        <v>-18.16</v>
      </c>
      <c r="D37" s="35">
        <v>-45.27</v>
      </c>
      <c r="E37" s="35"/>
      <c r="F37" s="26"/>
      <c r="G37" s="35"/>
      <c r="H37" s="35"/>
      <c r="I37" s="35"/>
      <c r="J37" s="35"/>
      <c r="K37" s="35"/>
      <c r="L37" s="35"/>
      <c r="M37" s="35"/>
      <c r="N37" s="64"/>
    </row>
    <row r="38" spans="1:14" x14ac:dyDescent="0.25">
      <c r="A38" s="215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216"/>
    </row>
    <row r="39" spans="1:14" ht="18.75" x14ac:dyDescent="0.25">
      <c r="A39" s="209" t="s">
        <v>311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210"/>
    </row>
    <row r="40" spans="1:14" x14ac:dyDescent="0.25">
      <c r="A40" s="211" t="s">
        <v>292</v>
      </c>
      <c r="B40" s="150" t="s">
        <v>293</v>
      </c>
      <c r="C40" s="151" t="s">
        <v>312</v>
      </c>
      <c r="D40" s="152"/>
      <c r="E40" s="152"/>
      <c r="F40" s="153"/>
      <c r="G40" s="151" t="s">
        <v>313</v>
      </c>
      <c r="H40" s="152"/>
      <c r="I40" s="152"/>
      <c r="J40" s="153"/>
      <c r="K40" s="30"/>
      <c r="L40" s="30"/>
      <c r="M40" s="30"/>
      <c r="N40" s="59"/>
    </row>
    <row r="41" spans="1:14" x14ac:dyDescent="0.25">
      <c r="A41" s="211"/>
      <c r="B41" s="150"/>
      <c r="C41" s="154"/>
      <c r="D41" s="155"/>
      <c r="E41" s="155"/>
      <c r="F41" s="156"/>
      <c r="G41" s="154"/>
      <c r="H41" s="155"/>
      <c r="I41" s="155"/>
      <c r="J41" s="156"/>
      <c r="K41" s="30"/>
      <c r="L41" s="30"/>
      <c r="M41" s="30"/>
      <c r="N41" s="59"/>
    </row>
    <row r="42" spans="1:14" ht="15.75" thickBot="1" x14ac:dyDescent="0.3">
      <c r="A42" s="65"/>
      <c r="B42" s="66"/>
      <c r="C42" s="206"/>
      <c r="D42" s="206"/>
      <c r="E42" s="206"/>
      <c r="F42" s="206"/>
      <c r="G42" s="206"/>
      <c r="H42" s="206"/>
      <c r="I42" s="206"/>
      <c r="J42" s="206"/>
      <c r="K42" s="67"/>
      <c r="L42" s="67"/>
      <c r="M42" s="67"/>
      <c r="N42" s="68"/>
    </row>
    <row r="43" spans="1:14" ht="19.5" thickTop="1" x14ac:dyDescent="0.25">
      <c r="A43" s="212" t="s">
        <v>456</v>
      </c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213"/>
    </row>
    <row r="44" spans="1:14" x14ac:dyDescent="0.25">
      <c r="A44" s="207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208"/>
    </row>
    <row r="45" spans="1:14" ht="18.75" x14ac:dyDescent="0.25">
      <c r="A45" s="209" t="s">
        <v>291</v>
      </c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210"/>
    </row>
    <row r="46" spans="1:14" x14ac:dyDescent="0.25">
      <c r="A46" s="211" t="s">
        <v>292</v>
      </c>
      <c r="B46" s="150" t="s">
        <v>293</v>
      </c>
      <c r="C46" s="157" t="s">
        <v>294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214"/>
    </row>
    <row r="47" spans="1:14" x14ac:dyDescent="0.25">
      <c r="A47" s="211"/>
      <c r="B47" s="150"/>
      <c r="C47" s="30" t="s">
        <v>295</v>
      </c>
      <c r="D47" s="30" t="s">
        <v>296</v>
      </c>
      <c r="E47" s="30" t="s">
        <v>297</v>
      </c>
      <c r="F47" s="30" t="s">
        <v>298</v>
      </c>
      <c r="G47" s="30" t="s">
        <v>299</v>
      </c>
      <c r="H47" s="30" t="s">
        <v>300</v>
      </c>
      <c r="I47" s="30" t="s">
        <v>301</v>
      </c>
      <c r="J47" s="30" t="s">
        <v>302</v>
      </c>
      <c r="K47" s="30" t="s">
        <v>303</v>
      </c>
      <c r="L47" s="30" t="s">
        <v>304</v>
      </c>
      <c r="M47" s="30" t="s">
        <v>305</v>
      </c>
      <c r="N47" s="59" t="s">
        <v>306</v>
      </c>
    </row>
    <row r="48" spans="1:14" x14ac:dyDescent="0.25">
      <c r="A48" s="60">
        <v>158</v>
      </c>
      <c r="B48" s="5" t="s">
        <v>78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1"/>
    </row>
    <row r="49" spans="1:14" x14ac:dyDescent="0.25">
      <c r="A49" s="215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216"/>
    </row>
    <row r="50" spans="1:14" x14ac:dyDescent="0.25">
      <c r="A50" s="211" t="s">
        <v>292</v>
      </c>
      <c r="B50" s="150" t="s">
        <v>293</v>
      </c>
      <c r="C50" s="157" t="s">
        <v>308</v>
      </c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214"/>
    </row>
    <row r="51" spans="1:14" x14ac:dyDescent="0.25">
      <c r="A51" s="211"/>
      <c r="B51" s="150"/>
      <c r="C51" s="30" t="s">
        <v>295</v>
      </c>
      <c r="D51" s="30" t="s">
        <v>296</v>
      </c>
      <c r="E51" s="30" t="s">
        <v>297</v>
      </c>
      <c r="F51" s="30" t="s">
        <v>298</v>
      </c>
      <c r="G51" s="30" t="s">
        <v>299</v>
      </c>
      <c r="H51" s="30" t="s">
        <v>300</v>
      </c>
      <c r="I51" s="30" t="s">
        <v>301</v>
      </c>
      <c r="J51" s="30" t="s">
        <v>302</v>
      </c>
      <c r="K51" s="30" t="s">
        <v>303</v>
      </c>
      <c r="L51" s="30" t="s">
        <v>304</v>
      </c>
      <c r="M51" s="30" t="s">
        <v>305</v>
      </c>
      <c r="N51" s="59" t="s">
        <v>306</v>
      </c>
    </row>
    <row r="52" spans="1:14" x14ac:dyDescent="0.25">
      <c r="A52" s="60">
        <v>158</v>
      </c>
      <c r="B52" s="5" t="s">
        <v>78</v>
      </c>
      <c r="C52" s="29">
        <v>4.74</v>
      </c>
      <c r="D52" s="29">
        <v>5.21</v>
      </c>
      <c r="E52" s="29">
        <v>5</v>
      </c>
      <c r="F52" s="29">
        <v>4.97</v>
      </c>
      <c r="G52" s="29">
        <v>4.68</v>
      </c>
      <c r="H52" s="29">
        <v>4.7</v>
      </c>
      <c r="I52" s="29">
        <v>5.48</v>
      </c>
      <c r="J52" s="29">
        <v>6.61</v>
      </c>
      <c r="K52" s="29">
        <v>6.87</v>
      </c>
      <c r="L52" s="29">
        <v>6.03</v>
      </c>
      <c r="M52" s="29">
        <v>5.6</v>
      </c>
      <c r="N52" s="62">
        <v>4.74</v>
      </c>
    </row>
    <row r="53" spans="1:14" x14ac:dyDescent="0.25">
      <c r="A53" s="207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208"/>
    </row>
    <row r="54" spans="1:14" ht="18.75" x14ac:dyDescent="0.25">
      <c r="A54" s="209" t="s">
        <v>309</v>
      </c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210"/>
    </row>
    <row r="55" spans="1:14" x14ac:dyDescent="0.25">
      <c r="A55" s="211" t="s">
        <v>292</v>
      </c>
      <c r="B55" s="150" t="s">
        <v>293</v>
      </c>
      <c r="C55" s="150" t="s">
        <v>1</v>
      </c>
      <c r="D55" s="150" t="s">
        <v>2</v>
      </c>
      <c r="E55" s="150" t="s">
        <v>310</v>
      </c>
      <c r="F55" s="150"/>
      <c r="G55" s="150"/>
      <c r="H55" s="150"/>
      <c r="I55" s="30"/>
      <c r="J55" s="30"/>
      <c r="K55" s="30"/>
      <c r="L55" s="30"/>
      <c r="M55" s="30"/>
      <c r="N55" s="59"/>
    </row>
    <row r="56" spans="1:14" x14ac:dyDescent="0.25">
      <c r="A56" s="211"/>
      <c r="B56" s="150"/>
      <c r="C56" s="150"/>
      <c r="D56" s="150"/>
      <c r="E56" s="30" t="s">
        <v>292</v>
      </c>
      <c r="F56" s="30" t="s">
        <v>293</v>
      </c>
      <c r="G56" s="30" t="s">
        <v>1</v>
      </c>
      <c r="H56" s="30" t="s">
        <v>2</v>
      </c>
      <c r="I56" s="30"/>
      <c r="J56" s="30"/>
      <c r="K56" s="30"/>
      <c r="L56" s="30"/>
      <c r="M56" s="30"/>
      <c r="N56" s="59"/>
    </row>
    <row r="57" spans="1:14" x14ac:dyDescent="0.25">
      <c r="A57" s="15" t="s">
        <v>77</v>
      </c>
      <c r="B57" s="5" t="s">
        <v>78</v>
      </c>
      <c r="C57" s="29">
        <v>-16.21</v>
      </c>
      <c r="D57" s="35">
        <v>-47.33</v>
      </c>
      <c r="E57" s="73"/>
      <c r="F57" s="84"/>
      <c r="G57" s="73"/>
      <c r="H57" s="73"/>
      <c r="I57" s="73"/>
      <c r="J57" s="73"/>
      <c r="K57" s="73"/>
      <c r="L57" s="73"/>
      <c r="M57" s="73"/>
      <c r="N57" s="102"/>
    </row>
    <row r="58" spans="1:14" x14ac:dyDescent="0.25">
      <c r="A58" s="103"/>
      <c r="B58" s="104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105"/>
    </row>
    <row r="59" spans="1:14" s="1" customFormat="1" ht="18.75" x14ac:dyDescent="0.25">
      <c r="A59" s="209" t="s">
        <v>311</v>
      </c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210"/>
    </row>
    <row r="60" spans="1:14" s="1" customFormat="1" x14ac:dyDescent="0.25">
      <c r="A60" s="211" t="s">
        <v>292</v>
      </c>
      <c r="B60" s="150" t="s">
        <v>293</v>
      </c>
      <c r="C60" s="151" t="s">
        <v>312</v>
      </c>
      <c r="D60" s="152"/>
      <c r="E60" s="152"/>
      <c r="F60" s="153"/>
      <c r="G60" s="151" t="s">
        <v>313</v>
      </c>
      <c r="H60" s="152"/>
      <c r="I60" s="152"/>
      <c r="J60" s="153"/>
      <c r="K60" s="30"/>
      <c r="L60" s="30"/>
      <c r="M60" s="30"/>
      <c r="N60" s="59"/>
    </row>
    <row r="61" spans="1:14" s="1" customFormat="1" x14ac:dyDescent="0.25">
      <c r="A61" s="211"/>
      <c r="B61" s="150"/>
      <c r="C61" s="154"/>
      <c r="D61" s="155"/>
      <c r="E61" s="155"/>
      <c r="F61" s="156"/>
      <c r="G61" s="154"/>
      <c r="H61" s="155"/>
      <c r="I61" s="155"/>
      <c r="J61" s="156"/>
      <c r="K61" s="30"/>
      <c r="L61" s="30"/>
      <c r="M61" s="30"/>
      <c r="N61" s="59"/>
    </row>
    <row r="62" spans="1:14" s="1" customFormat="1" ht="15.75" thickBot="1" x14ac:dyDescent="0.3">
      <c r="A62" s="65"/>
      <c r="B62" s="66"/>
      <c r="C62" s="206"/>
      <c r="D62" s="206"/>
      <c r="E62" s="206"/>
      <c r="F62" s="206"/>
      <c r="G62" s="206"/>
      <c r="H62" s="206"/>
      <c r="I62" s="206"/>
      <c r="J62" s="206"/>
      <c r="K62" s="67"/>
      <c r="L62" s="67"/>
      <c r="M62" s="67"/>
      <c r="N62" s="68"/>
    </row>
    <row r="63" spans="1:14" ht="19.5" thickTop="1" x14ac:dyDescent="0.25">
      <c r="A63" s="212" t="s">
        <v>457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213"/>
    </row>
    <row r="64" spans="1:14" x14ac:dyDescent="0.25">
      <c r="A64" s="207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208"/>
    </row>
    <row r="65" spans="1:16" ht="18.75" x14ac:dyDescent="0.25">
      <c r="A65" s="209" t="s">
        <v>291</v>
      </c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210"/>
    </row>
    <row r="66" spans="1:16" x14ac:dyDescent="0.25">
      <c r="A66" s="211" t="s">
        <v>292</v>
      </c>
      <c r="B66" s="150" t="s">
        <v>293</v>
      </c>
      <c r="C66" s="157" t="s">
        <v>294</v>
      </c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214"/>
    </row>
    <row r="67" spans="1:16" x14ac:dyDescent="0.25">
      <c r="A67" s="211"/>
      <c r="B67" s="150"/>
      <c r="C67" s="30" t="s">
        <v>295</v>
      </c>
      <c r="D67" s="30" t="s">
        <v>296</v>
      </c>
      <c r="E67" s="30" t="s">
        <v>297</v>
      </c>
      <c r="F67" s="30" t="s">
        <v>298</v>
      </c>
      <c r="G67" s="30" t="s">
        <v>299</v>
      </c>
      <c r="H67" s="30" t="s">
        <v>300</v>
      </c>
      <c r="I67" s="30" t="s">
        <v>301</v>
      </c>
      <c r="J67" s="30" t="s">
        <v>302</v>
      </c>
      <c r="K67" s="30" t="s">
        <v>303</v>
      </c>
      <c r="L67" s="30" t="s">
        <v>304</v>
      </c>
      <c r="M67" s="30" t="s">
        <v>305</v>
      </c>
      <c r="N67" s="59" t="s">
        <v>306</v>
      </c>
    </row>
    <row r="68" spans="1:16" x14ac:dyDescent="0.25">
      <c r="A68" s="60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1"/>
    </row>
    <row r="69" spans="1:16" x14ac:dyDescent="0.25">
      <c r="A69" s="207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208"/>
    </row>
    <row r="70" spans="1:16" x14ac:dyDescent="0.25">
      <c r="A70" s="211" t="s">
        <v>292</v>
      </c>
      <c r="B70" s="150" t="s">
        <v>293</v>
      </c>
      <c r="C70" s="157" t="s">
        <v>308</v>
      </c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214"/>
    </row>
    <row r="71" spans="1:16" x14ac:dyDescent="0.25">
      <c r="A71" s="211"/>
      <c r="B71" s="150"/>
      <c r="C71" s="30" t="s">
        <v>295</v>
      </c>
      <c r="D71" s="30" t="s">
        <v>296</v>
      </c>
      <c r="E71" s="30" t="s">
        <v>297</v>
      </c>
      <c r="F71" s="30" t="s">
        <v>298</v>
      </c>
      <c r="G71" s="30" t="s">
        <v>299</v>
      </c>
      <c r="H71" s="30" t="s">
        <v>300</v>
      </c>
      <c r="I71" s="30" t="s">
        <v>301</v>
      </c>
      <c r="J71" s="30" t="s">
        <v>302</v>
      </c>
      <c r="K71" s="30" t="s">
        <v>303</v>
      </c>
      <c r="L71" s="30" t="s">
        <v>304</v>
      </c>
      <c r="M71" s="30" t="s">
        <v>305</v>
      </c>
      <c r="N71" s="59" t="s">
        <v>306</v>
      </c>
    </row>
    <row r="72" spans="1:16" x14ac:dyDescent="0.25">
      <c r="A72" s="60">
        <v>43200000</v>
      </c>
      <c r="B72" s="5" t="s">
        <v>84</v>
      </c>
      <c r="C72" s="29">
        <v>5.71</v>
      </c>
      <c r="D72" s="29">
        <v>6.25</v>
      </c>
      <c r="E72" s="29">
        <v>5.84</v>
      </c>
      <c r="F72" s="29">
        <v>5.4</v>
      </c>
      <c r="G72" s="29">
        <v>5.03</v>
      </c>
      <c r="H72" s="29">
        <v>4.7</v>
      </c>
      <c r="I72" s="29">
        <v>5.26</v>
      </c>
      <c r="J72" s="29">
        <v>6.45</v>
      </c>
      <c r="K72" s="29">
        <v>7.07</v>
      </c>
      <c r="L72" s="29">
        <v>6.68</v>
      </c>
      <c r="M72" s="29">
        <v>5.7</v>
      </c>
      <c r="N72" s="62">
        <v>5.32</v>
      </c>
    </row>
    <row r="73" spans="1:16" x14ac:dyDescent="0.25">
      <c r="A73" s="207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208"/>
    </row>
    <row r="74" spans="1:16" ht="18.75" x14ac:dyDescent="0.25">
      <c r="A74" s="209" t="s">
        <v>309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210"/>
    </row>
    <row r="75" spans="1:16" x14ac:dyDescent="0.25">
      <c r="A75" s="211" t="s">
        <v>292</v>
      </c>
      <c r="B75" s="150" t="s">
        <v>293</v>
      </c>
      <c r="C75" s="150" t="s">
        <v>1</v>
      </c>
      <c r="D75" s="150" t="s">
        <v>2</v>
      </c>
      <c r="E75" s="150" t="s">
        <v>310</v>
      </c>
      <c r="F75" s="150"/>
      <c r="G75" s="150"/>
      <c r="H75" s="150"/>
      <c r="I75" s="30"/>
      <c r="J75" s="30"/>
      <c r="K75" s="30"/>
      <c r="L75" s="30"/>
      <c r="M75" s="30"/>
      <c r="N75" s="59"/>
    </row>
    <row r="76" spans="1:16" x14ac:dyDescent="0.25">
      <c r="A76" s="211"/>
      <c r="B76" s="150"/>
      <c r="C76" s="150"/>
      <c r="D76" s="150"/>
      <c r="E76" s="30" t="s">
        <v>292</v>
      </c>
      <c r="F76" s="30" t="s">
        <v>293</v>
      </c>
      <c r="G76" s="30" t="s">
        <v>1</v>
      </c>
      <c r="H76" s="30" t="s">
        <v>2</v>
      </c>
      <c r="I76" s="30"/>
      <c r="J76" s="30"/>
      <c r="K76" s="30"/>
      <c r="L76" s="30"/>
      <c r="M76" s="30"/>
      <c r="N76" s="59"/>
    </row>
    <row r="77" spans="1:16" x14ac:dyDescent="0.25">
      <c r="A77" s="15" t="s">
        <v>83</v>
      </c>
      <c r="B77" s="5" t="s">
        <v>84</v>
      </c>
      <c r="C77" s="29">
        <v>-16.37</v>
      </c>
      <c r="D77" s="35">
        <v>-45.07</v>
      </c>
      <c r="E77" s="73"/>
      <c r="F77" s="84"/>
      <c r="G77" s="73"/>
      <c r="H77" s="73"/>
      <c r="I77" s="73"/>
      <c r="J77" s="73"/>
      <c r="K77" s="73"/>
      <c r="L77" s="73"/>
      <c r="M77" s="73"/>
      <c r="N77" s="102"/>
      <c r="P77" s="106"/>
    </row>
    <row r="78" spans="1:16" x14ac:dyDescent="0.25">
      <c r="A78" s="101"/>
      <c r="B78" s="100"/>
      <c r="C78" s="73"/>
      <c r="D78" s="73"/>
      <c r="E78" s="73"/>
      <c r="F78" s="84"/>
      <c r="G78" s="73"/>
      <c r="H78" s="73"/>
      <c r="I78" s="73"/>
      <c r="J78" s="73"/>
      <c r="K78" s="73"/>
      <c r="L78" s="73"/>
      <c r="M78" s="73"/>
      <c r="N78" s="102"/>
    </row>
    <row r="79" spans="1:16" ht="18.75" x14ac:dyDescent="0.25">
      <c r="A79" s="209" t="s">
        <v>311</v>
      </c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210"/>
    </row>
    <row r="80" spans="1:16" x14ac:dyDescent="0.25">
      <c r="A80" s="211" t="s">
        <v>292</v>
      </c>
      <c r="B80" s="150" t="s">
        <v>293</v>
      </c>
      <c r="C80" s="151" t="s">
        <v>312</v>
      </c>
      <c r="D80" s="152"/>
      <c r="E80" s="152"/>
      <c r="F80" s="153"/>
      <c r="G80" s="151" t="s">
        <v>313</v>
      </c>
      <c r="H80" s="152"/>
      <c r="I80" s="152"/>
      <c r="J80" s="153"/>
      <c r="K80" s="30"/>
      <c r="L80" s="30"/>
      <c r="M80" s="30"/>
      <c r="N80" s="59"/>
    </row>
    <row r="81" spans="1:14" x14ac:dyDescent="0.25">
      <c r="A81" s="211"/>
      <c r="B81" s="150"/>
      <c r="C81" s="154"/>
      <c r="D81" s="155"/>
      <c r="E81" s="155"/>
      <c r="F81" s="156"/>
      <c r="G81" s="154"/>
      <c r="H81" s="155"/>
      <c r="I81" s="155"/>
      <c r="J81" s="156"/>
      <c r="K81" s="30"/>
      <c r="L81" s="30"/>
      <c r="M81" s="30"/>
      <c r="N81" s="59"/>
    </row>
    <row r="82" spans="1:14" ht="15.75" thickBot="1" x14ac:dyDescent="0.3">
      <c r="A82" s="65"/>
      <c r="B82" s="66"/>
      <c r="C82" s="206"/>
      <c r="D82" s="206"/>
      <c r="E82" s="206"/>
      <c r="F82" s="206"/>
      <c r="G82" s="206"/>
      <c r="H82" s="206"/>
      <c r="I82" s="206"/>
      <c r="J82" s="206"/>
      <c r="K82" s="67"/>
      <c r="L82" s="67"/>
      <c r="M82" s="67"/>
      <c r="N82" s="68"/>
    </row>
    <row r="83" spans="1:14" ht="19.5" thickTop="1" x14ac:dyDescent="0.25">
      <c r="A83" s="212" t="s">
        <v>458</v>
      </c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213"/>
    </row>
    <row r="84" spans="1:14" x14ac:dyDescent="0.25">
      <c r="A84" s="207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208"/>
    </row>
    <row r="85" spans="1:14" ht="18.75" x14ac:dyDescent="0.25">
      <c r="A85" s="209" t="s">
        <v>291</v>
      </c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210"/>
    </row>
    <row r="86" spans="1:14" x14ac:dyDescent="0.25">
      <c r="A86" s="211" t="s">
        <v>292</v>
      </c>
      <c r="B86" s="150" t="s">
        <v>293</v>
      </c>
      <c r="C86" s="157" t="s">
        <v>294</v>
      </c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214"/>
    </row>
    <row r="87" spans="1:14" x14ac:dyDescent="0.25">
      <c r="A87" s="211"/>
      <c r="B87" s="150"/>
      <c r="C87" s="30" t="s">
        <v>295</v>
      </c>
      <c r="D87" s="30" t="s">
        <v>296</v>
      </c>
      <c r="E87" s="30" t="s">
        <v>297</v>
      </c>
      <c r="F87" s="30" t="s">
        <v>298</v>
      </c>
      <c r="G87" s="30" t="s">
        <v>299</v>
      </c>
      <c r="H87" s="30" t="s">
        <v>300</v>
      </c>
      <c r="I87" s="30" t="s">
        <v>301</v>
      </c>
      <c r="J87" s="30" t="s">
        <v>302</v>
      </c>
      <c r="K87" s="30" t="s">
        <v>303</v>
      </c>
      <c r="L87" s="30" t="s">
        <v>304</v>
      </c>
      <c r="M87" s="30" t="s">
        <v>305</v>
      </c>
      <c r="N87" s="59" t="s">
        <v>306</v>
      </c>
    </row>
    <row r="88" spans="1:14" x14ac:dyDescent="0.25">
      <c r="A88" s="60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1"/>
    </row>
    <row r="89" spans="1:14" x14ac:dyDescent="0.25">
      <c r="A89" s="207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208"/>
    </row>
    <row r="90" spans="1:14" x14ac:dyDescent="0.25">
      <c r="A90" s="211" t="s">
        <v>292</v>
      </c>
      <c r="B90" s="150" t="s">
        <v>293</v>
      </c>
      <c r="C90" s="157" t="s">
        <v>308</v>
      </c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214"/>
    </row>
    <row r="91" spans="1:14" x14ac:dyDescent="0.25">
      <c r="A91" s="211"/>
      <c r="B91" s="150"/>
      <c r="C91" s="30" t="s">
        <v>295</v>
      </c>
      <c r="D91" s="30" t="s">
        <v>296</v>
      </c>
      <c r="E91" s="30" t="s">
        <v>297</v>
      </c>
      <c r="F91" s="30" t="s">
        <v>298</v>
      </c>
      <c r="G91" s="30" t="s">
        <v>299</v>
      </c>
      <c r="H91" s="30" t="s">
        <v>300</v>
      </c>
      <c r="I91" s="30" t="s">
        <v>301</v>
      </c>
      <c r="J91" s="30" t="s">
        <v>302</v>
      </c>
      <c r="K91" s="30" t="s">
        <v>303</v>
      </c>
      <c r="L91" s="30" t="s">
        <v>304</v>
      </c>
      <c r="M91" s="30" t="s">
        <v>305</v>
      </c>
      <c r="N91" s="59" t="s">
        <v>306</v>
      </c>
    </row>
    <row r="92" spans="1:14" x14ac:dyDescent="0.25">
      <c r="A92" s="60">
        <v>44200000</v>
      </c>
      <c r="B92" s="5" t="s">
        <v>82</v>
      </c>
      <c r="C92" s="29">
        <v>5.71</v>
      </c>
      <c r="D92" s="29">
        <v>6.25</v>
      </c>
      <c r="E92" s="29">
        <v>5.84</v>
      </c>
      <c r="F92" s="29">
        <v>5.4</v>
      </c>
      <c r="G92" s="29">
        <v>5.03</v>
      </c>
      <c r="H92" s="29">
        <v>4.7</v>
      </c>
      <c r="I92" s="29">
        <v>5.26</v>
      </c>
      <c r="J92" s="29">
        <v>6.45</v>
      </c>
      <c r="K92" s="29">
        <v>7.07</v>
      </c>
      <c r="L92" s="29">
        <v>6.68</v>
      </c>
      <c r="M92" s="29">
        <v>5.7</v>
      </c>
      <c r="N92" s="62">
        <v>5.32</v>
      </c>
    </row>
    <row r="93" spans="1:14" x14ac:dyDescent="0.25">
      <c r="A93" s="207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208"/>
    </row>
    <row r="94" spans="1:14" ht="18.75" x14ac:dyDescent="0.25">
      <c r="A94" s="209" t="s">
        <v>309</v>
      </c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210"/>
    </row>
    <row r="95" spans="1:14" x14ac:dyDescent="0.25">
      <c r="A95" s="211" t="s">
        <v>292</v>
      </c>
      <c r="B95" s="150" t="s">
        <v>293</v>
      </c>
      <c r="C95" s="150" t="s">
        <v>1</v>
      </c>
      <c r="D95" s="150" t="s">
        <v>2</v>
      </c>
      <c r="E95" s="150" t="s">
        <v>310</v>
      </c>
      <c r="F95" s="150"/>
      <c r="G95" s="150"/>
      <c r="H95" s="150"/>
      <c r="I95" s="30"/>
      <c r="J95" s="30"/>
      <c r="K95" s="30"/>
      <c r="L95" s="30"/>
      <c r="M95" s="30"/>
      <c r="N95" s="59"/>
    </row>
    <row r="96" spans="1:14" x14ac:dyDescent="0.25">
      <c r="A96" s="211"/>
      <c r="B96" s="150"/>
      <c r="C96" s="150"/>
      <c r="D96" s="150"/>
      <c r="E96" s="30" t="s">
        <v>292</v>
      </c>
      <c r="F96" s="30" t="s">
        <v>293</v>
      </c>
      <c r="G96" s="30" t="s">
        <v>1</v>
      </c>
      <c r="H96" s="30" t="s">
        <v>2</v>
      </c>
      <c r="I96" s="30"/>
      <c r="J96" s="30"/>
      <c r="K96" s="30"/>
      <c r="L96" s="30"/>
      <c r="M96" s="30"/>
      <c r="N96" s="59"/>
    </row>
    <row r="97" spans="1:16" x14ac:dyDescent="0.25">
      <c r="A97" s="15" t="s">
        <v>81</v>
      </c>
      <c r="B97" s="5" t="s">
        <v>82</v>
      </c>
      <c r="C97" s="29">
        <v>-15.93</v>
      </c>
      <c r="D97" s="35">
        <v>-44.86</v>
      </c>
      <c r="E97" s="73"/>
      <c r="F97" s="84"/>
      <c r="G97" s="73"/>
      <c r="H97" s="73"/>
      <c r="I97" s="73"/>
      <c r="J97" s="73"/>
      <c r="K97" s="73"/>
      <c r="L97" s="73"/>
      <c r="M97" s="73"/>
      <c r="N97" s="102"/>
      <c r="P97" s="106"/>
    </row>
    <row r="98" spans="1:16" x14ac:dyDescent="0.25">
      <c r="A98" s="207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208"/>
    </row>
    <row r="99" spans="1:16" ht="18.75" x14ac:dyDescent="0.25">
      <c r="A99" s="209" t="s">
        <v>311</v>
      </c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210"/>
    </row>
    <row r="100" spans="1:16" x14ac:dyDescent="0.25">
      <c r="A100" s="211" t="s">
        <v>292</v>
      </c>
      <c r="B100" s="150" t="s">
        <v>293</v>
      </c>
      <c r="C100" s="151" t="s">
        <v>312</v>
      </c>
      <c r="D100" s="152"/>
      <c r="E100" s="152"/>
      <c r="F100" s="153"/>
      <c r="G100" s="151" t="s">
        <v>313</v>
      </c>
      <c r="H100" s="152"/>
      <c r="I100" s="152"/>
      <c r="J100" s="153"/>
      <c r="K100" s="30"/>
      <c r="L100" s="30"/>
      <c r="M100" s="30"/>
      <c r="N100" s="59"/>
    </row>
    <row r="101" spans="1:16" x14ac:dyDescent="0.25">
      <c r="A101" s="211"/>
      <c r="B101" s="150"/>
      <c r="C101" s="154"/>
      <c r="D101" s="155"/>
      <c r="E101" s="155"/>
      <c r="F101" s="156"/>
      <c r="G101" s="154"/>
      <c r="H101" s="155"/>
      <c r="I101" s="155"/>
      <c r="J101" s="156"/>
      <c r="K101" s="30"/>
      <c r="L101" s="30"/>
      <c r="M101" s="30"/>
      <c r="N101" s="59"/>
    </row>
    <row r="102" spans="1:16" ht="15.75" thickBot="1" x14ac:dyDescent="0.3">
      <c r="A102" s="65"/>
      <c r="B102" s="66"/>
      <c r="C102" s="206"/>
      <c r="D102" s="206"/>
      <c r="E102" s="206"/>
      <c r="F102" s="206"/>
      <c r="G102" s="206"/>
      <c r="H102" s="206"/>
      <c r="I102" s="206"/>
      <c r="J102" s="206"/>
      <c r="K102" s="67"/>
      <c r="L102" s="67"/>
      <c r="M102" s="67"/>
      <c r="N102" s="68"/>
    </row>
    <row r="103" spans="1:16" ht="19.5" thickTop="1" x14ac:dyDescent="0.25">
      <c r="A103" s="212" t="s">
        <v>459</v>
      </c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213"/>
    </row>
    <row r="104" spans="1:16" x14ac:dyDescent="0.25">
      <c r="A104" s="207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208"/>
    </row>
    <row r="105" spans="1:16" ht="18.75" x14ac:dyDescent="0.25">
      <c r="A105" s="209" t="s">
        <v>291</v>
      </c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210"/>
    </row>
    <row r="106" spans="1:16" x14ac:dyDescent="0.25">
      <c r="A106" s="211" t="s">
        <v>292</v>
      </c>
      <c r="B106" s="150" t="s">
        <v>293</v>
      </c>
      <c r="C106" s="157" t="s">
        <v>294</v>
      </c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214"/>
    </row>
    <row r="107" spans="1:16" x14ac:dyDescent="0.25">
      <c r="A107" s="211"/>
      <c r="B107" s="150"/>
      <c r="C107" s="30" t="s">
        <v>295</v>
      </c>
      <c r="D107" s="30" t="s">
        <v>296</v>
      </c>
      <c r="E107" s="30" t="s">
        <v>297</v>
      </c>
      <c r="F107" s="30" t="s">
        <v>298</v>
      </c>
      <c r="G107" s="30" t="s">
        <v>299</v>
      </c>
      <c r="H107" s="30" t="s">
        <v>300</v>
      </c>
      <c r="I107" s="30" t="s">
        <v>301</v>
      </c>
      <c r="J107" s="30" t="s">
        <v>302</v>
      </c>
      <c r="K107" s="30" t="s">
        <v>303</v>
      </c>
      <c r="L107" s="30" t="s">
        <v>304</v>
      </c>
      <c r="M107" s="30" t="s">
        <v>305</v>
      </c>
      <c r="N107" s="59" t="s">
        <v>306</v>
      </c>
    </row>
    <row r="108" spans="1:16" x14ac:dyDescent="0.25">
      <c r="A108" s="60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1"/>
    </row>
    <row r="109" spans="1:16" x14ac:dyDescent="0.25">
      <c r="A109" s="207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208"/>
    </row>
    <row r="110" spans="1:16" x14ac:dyDescent="0.25">
      <c r="A110" s="211" t="s">
        <v>292</v>
      </c>
      <c r="B110" s="150" t="s">
        <v>293</v>
      </c>
      <c r="C110" s="157" t="s">
        <v>308</v>
      </c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214"/>
    </row>
    <row r="111" spans="1:16" x14ac:dyDescent="0.25">
      <c r="A111" s="211"/>
      <c r="B111" s="150"/>
      <c r="C111" s="30" t="s">
        <v>295</v>
      </c>
      <c r="D111" s="30" t="s">
        <v>296</v>
      </c>
      <c r="E111" s="30" t="s">
        <v>297</v>
      </c>
      <c r="F111" s="30" t="s">
        <v>298</v>
      </c>
      <c r="G111" s="30" t="s">
        <v>299</v>
      </c>
      <c r="H111" s="30" t="s">
        <v>300</v>
      </c>
      <c r="I111" s="30" t="s">
        <v>301</v>
      </c>
      <c r="J111" s="30" t="s">
        <v>302</v>
      </c>
      <c r="K111" s="30" t="s">
        <v>303</v>
      </c>
      <c r="L111" s="30" t="s">
        <v>304</v>
      </c>
      <c r="M111" s="30" t="s">
        <v>305</v>
      </c>
      <c r="N111" s="59" t="s">
        <v>306</v>
      </c>
    </row>
    <row r="112" spans="1:16" x14ac:dyDescent="0.25">
      <c r="A112" s="60">
        <v>46902000</v>
      </c>
      <c r="B112" s="5" t="s">
        <v>88</v>
      </c>
      <c r="C112" s="29">
        <v>4.74</v>
      </c>
      <c r="D112" s="29">
        <v>4.18</v>
      </c>
      <c r="E112" s="29">
        <v>3.81</v>
      </c>
      <c r="F112" s="29">
        <v>3.53</v>
      </c>
      <c r="G112" s="29">
        <v>3.26</v>
      </c>
      <c r="H112" s="29">
        <v>3.3</v>
      </c>
      <c r="I112" s="29">
        <v>3.61</v>
      </c>
      <c r="J112" s="29">
        <v>3.94</v>
      </c>
      <c r="K112" s="29">
        <v>4.4000000000000004</v>
      </c>
      <c r="L112" s="29">
        <v>4.9000000000000004</v>
      </c>
      <c r="M112" s="29">
        <v>4.7300000000000004</v>
      </c>
      <c r="N112" s="62">
        <v>4.7699999999999996</v>
      </c>
    </row>
    <row r="113" spans="1:17" x14ac:dyDescent="0.25">
      <c r="A113" s="207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208"/>
    </row>
    <row r="114" spans="1:17" ht="18.75" x14ac:dyDescent="0.25">
      <c r="A114" s="209" t="s">
        <v>309</v>
      </c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210"/>
    </row>
    <row r="115" spans="1:17" x14ac:dyDescent="0.25">
      <c r="A115" s="211" t="s">
        <v>292</v>
      </c>
      <c r="B115" s="150" t="s">
        <v>293</v>
      </c>
      <c r="C115" s="150" t="s">
        <v>1</v>
      </c>
      <c r="D115" s="150" t="s">
        <v>2</v>
      </c>
      <c r="E115" s="150" t="s">
        <v>310</v>
      </c>
      <c r="F115" s="150"/>
      <c r="G115" s="150"/>
      <c r="H115" s="150"/>
      <c r="I115" s="30"/>
      <c r="J115" s="30"/>
      <c r="K115" s="30"/>
      <c r="L115" s="30"/>
      <c r="M115" s="30"/>
      <c r="N115" s="59"/>
    </row>
    <row r="116" spans="1:17" x14ac:dyDescent="0.25">
      <c r="A116" s="211"/>
      <c r="B116" s="150"/>
      <c r="C116" s="150"/>
      <c r="D116" s="150"/>
      <c r="E116" s="30" t="s">
        <v>292</v>
      </c>
      <c r="F116" s="30" t="s">
        <v>293</v>
      </c>
      <c r="G116" s="30" t="s">
        <v>1</v>
      </c>
      <c r="H116" s="30" t="s">
        <v>2</v>
      </c>
      <c r="I116" s="30"/>
      <c r="J116" s="30"/>
      <c r="K116" s="30"/>
      <c r="L116" s="30"/>
      <c r="M116" s="30"/>
      <c r="N116" s="59"/>
    </row>
    <row r="117" spans="1:17" x14ac:dyDescent="0.25">
      <c r="A117" s="107" t="s">
        <v>87</v>
      </c>
      <c r="B117" s="82" t="s">
        <v>88</v>
      </c>
      <c r="C117" s="83">
        <v>-11.35</v>
      </c>
      <c r="D117" s="83">
        <v>-43.83</v>
      </c>
      <c r="E117" s="75"/>
      <c r="F117" s="75"/>
      <c r="G117" s="75"/>
      <c r="H117" s="75"/>
      <c r="I117" s="75"/>
      <c r="J117" s="75"/>
      <c r="K117" s="75"/>
      <c r="L117" s="75"/>
      <c r="M117" s="75"/>
      <c r="N117" s="105"/>
      <c r="P117" s="108"/>
      <c r="Q117" s="106"/>
    </row>
    <row r="118" spans="1:17" x14ac:dyDescent="0.25">
      <c r="A118" s="101"/>
      <c r="B118" s="100"/>
      <c r="C118" s="73"/>
      <c r="D118" s="73"/>
      <c r="E118" s="73"/>
      <c r="F118" s="84"/>
      <c r="G118" s="73"/>
      <c r="H118" s="73"/>
      <c r="I118" s="73"/>
      <c r="J118" s="73"/>
      <c r="K118" s="73"/>
      <c r="L118" s="73"/>
      <c r="M118" s="73"/>
      <c r="N118" s="102"/>
    </row>
    <row r="119" spans="1:17" ht="18.75" x14ac:dyDescent="0.25">
      <c r="A119" s="209" t="s">
        <v>311</v>
      </c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210"/>
    </row>
    <row r="120" spans="1:17" x14ac:dyDescent="0.25">
      <c r="A120" s="211" t="s">
        <v>292</v>
      </c>
      <c r="B120" s="150" t="s">
        <v>293</v>
      </c>
      <c r="C120" s="151" t="s">
        <v>312</v>
      </c>
      <c r="D120" s="152"/>
      <c r="E120" s="152"/>
      <c r="F120" s="153"/>
      <c r="G120" s="151" t="s">
        <v>313</v>
      </c>
      <c r="H120" s="152"/>
      <c r="I120" s="152"/>
      <c r="J120" s="153"/>
      <c r="K120" s="30"/>
      <c r="L120" s="30"/>
      <c r="M120" s="30"/>
      <c r="N120" s="59"/>
    </row>
    <row r="121" spans="1:17" x14ac:dyDescent="0.25">
      <c r="A121" s="211"/>
      <c r="B121" s="150"/>
      <c r="C121" s="154"/>
      <c r="D121" s="155"/>
      <c r="E121" s="155"/>
      <c r="F121" s="156"/>
      <c r="G121" s="154"/>
      <c r="H121" s="155"/>
      <c r="I121" s="155"/>
      <c r="J121" s="156"/>
      <c r="K121" s="30"/>
      <c r="L121" s="30"/>
      <c r="M121" s="30"/>
      <c r="N121" s="59"/>
    </row>
    <row r="122" spans="1:17" ht="15.75" thickBot="1" x14ac:dyDescent="0.3">
      <c r="A122" s="65"/>
      <c r="B122" s="66"/>
      <c r="C122" s="206"/>
      <c r="D122" s="206"/>
      <c r="E122" s="206"/>
      <c r="F122" s="206"/>
      <c r="G122" s="206"/>
      <c r="H122" s="206"/>
      <c r="I122" s="206"/>
      <c r="J122" s="206"/>
      <c r="K122" s="67"/>
      <c r="L122" s="67"/>
      <c r="M122" s="67"/>
      <c r="N122" s="68"/>
    </row>
    <row r="123" spans="1:17" ht="16.5" thickTop="1" thickBot="1" x14ac:dyDescent="0.3"/>
    <row r="124" spans="1:17" ht="19.5" thickTop="1" x14ac:dyDescent="0.25">
      <c r="A124" s="178" t="s">
        <v>460</v>
      </c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80"/>
    </row>
    <row r="125" spans="1:17" x14ac:dyDescent="0.25">
      <c r="A125" s="171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72"/>
    </row>
    <row r="126" spans="1:17" ht="18.75" x14ac:dyDescent="0.25">
      <c r="A126" s="173" t="s">
        <v>291</v>
      </c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74"/>
    </row>
    <row r="127" spans="1:17" x14ac:dyDescent="0.25">
      <c r="A127" s="175" t="s">
        <v>292</v>
      </c>
      <c r="B127" s="150" t="s">
        <v>293</v>
      </c>
      <c r="C127" s="157" t="s">
        <v>294</v>
      </c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76"/>
    </row>
    <row r="128" spans="1:17" x14ac:dyDescent="0.25">
      <c r="A128" s="175"/>
      <c r="B128" s="150"/>
      <c r="C128" s="30" t="s">
        <v>295</v>
      </c>
      <c r="D128" s="30" t="s">
        <v>296</v>
      </c>
      <c r="E128" s="30" t="s">
        <v>297</v>
      </c>
      <c r="F128" s="30" t="s">
        <v>298</v>
      </c>
      <c r="G128" s="30" t="s">
        <v>299</v>
      </c>
      <c r="H128" s="30" t="s">
        <v>300</v>
      </c>
      <c r="I128" s="30" t="s">
        <v>301</v>
      </c>
      <c r="J128" s="30" t="s">
        <v>302</v>
      </c>
      <c r="K128" s="30" t="s">
        <v>303</v>
      </c>
      <c r="L128" s="30" t="s">
        <v>304</v>
      </c>
      <c r="M128" s="30" t="s">
        <v>305</v>
      </c>
      <c r="N128" s="42" t="s">
        <v>306</v>
      </c>
    </row>
    <row r="129" spans="1:14" x14ac:dyDescent="0.25">
      <c r="A129" s="87">
        <v>255</v>
      </c>
      <c r="B129" s="80" t="s">
        <v>191</v>
      </c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2"/>
    </row>
    <row r="130" spans="1:14" x14ac:dyDescent="0.25">
      <c r="A130" s="171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72"/>
    </row>
    <row r="131" spans="1:14" x14ac:dyDescent="0.25">
      <c r="A131" s="175" t="s">
        <v>292</v>
      </c>
      <c r="B131" s="150" t="s">
        <v>293</v>
      </c>
      <c r="C131" s="157" t="s">
        <v>308</v>
      </c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76"/>
    </row>
    <row r="132" spans="1:14" x14ac:dyDescent="0.25">
      <c r="A132" s="175"/>
      <c r="B132" s="150"/>
      <c r="C132" s="30" t="s">
        <v>295</v>
      </c>
      <c r="D132" s="30" t="s">
        <v>296</v>
      </c>
      <c r="E132" s="30" t="s">
        <v>297</v>
      </c>
      <c r="F132" s="30" t="s">
        <v>298</v>
      </c>
      <c r="G132" s="30" t="s">
        <v>299</v>
      </c>
      <c r="H132" s="30" t="s">
        <v>300</v>
      </c>
      <c r="I132" s="30" t="s">
        <v>301</v>
      </c>
      <c r="J132" s="30" t="s">
        <v>302</v>
      </c>
      <c r="K132" s="30" t="s">
        <v>303</v>
      </c>
      <c r="L132" s="30" t="s">
        <v>304</v>
      </c>
      <c r="M132" s="30" t="s">
        <v>305</v>
      </c>
      <c r="N132" s="42" t="s">
        <v>306</v>
      </c>
    </row>
    <row r="133" spans="1:14" x14ac:dyDescent="0.25">
      <c r="A133" s="87">
        <v>255</v>
      </c>
      <c r="B133" s="80" t="s">
        <v>191</v>
      </c>
      <c r="C133" s="91">
        <v>6.13</v>
      </c>
      <c r="D133" s="91">
        <v>6.46</v>
      </c>
      <c r="E133" s="91">
        <v>5.94</v>
      </c>
      <c r="F133" s="91">
        <v>5.17</v>
      </c>
      <c r="G133" s="91">
        <v>4.5199999999999996</v>
      </c>
      <c r="H133" s="91">
        <v>4.13</v>
      </c>
      <c r="I133" s="91">
        <v>4.45</v>
      </c>
      <c r="J133" s="91">
        <v>5.48</v>
      </c>
      <c r="K133" s="91">
        <v>6.17</v>
      </c>
      <c r="L133" s="91">
        <v>6.1</v>
      </c>
      <c r="M133" s="91">
        <v>5.53</v>
      </c>
      <c r="N133" s="92">
        <v>5.42</v>
      </c>
    </row>
    <row r="134" spans="1:14" x14ac:dyDescent="0.25">
      <c r="A134" s="194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6"/>
    </row>
    <row r="135" spans="1:14" ht="18.75" x14ac:dyDescent="0.25">
      <c r="A135" s="173" t="s">
        <v>309</v>
      </c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74"/>
    </row>
    <row r="136" spans="1:14" x14ac:dyDescent="0.25">
      <c r="A136" s="175" t="s">
        <v>292</v>
      </c>
      <c r="B136" s="150" t="s">
        <v>293</v>
      </c>
      <c r="C136" s="150" t="s">
        <v>1</v>
      </c>
      <c r="D136" s="150" t="s">
        <v>2</v>
      </c>
      <c r="E136" s="150" t="s">
        <v>310</v>
      </c>
      <c r="F136" s="150"/>
      <c r="G136" s="150"/>
      <c r="H136" s="150"/>
      <c r="I136" s="30"/>
      <c r="J136" s="30"/>
      <c r="K136" s="30"/>
      <c r="L136" s="30"/>
      <c r="M136" s="30"/>
      <c r="N136" s="42"/>
    </row>
    <row r="137" spans="1:14" x14ac:dyDescent="0.25">
      <c r="A137" s="175"/>
      <c r="B137" s="150"/>
      <c r="C137" s="150"/>
      <c r="D137" s="150"/>
      <c r="E137" s="30" t="s">
        <v>292</v>
      </c>
      <c r="F137" s="30" t="s">
        <v>293</v>
      </c>
      <c r="G137" s="30" t="s">
        <v>1</v>
      </c>
      <c r="H137" s="30" t="s">
        <v>2</v>
      </c>
      <c r="I137" s="30"/>
      <c r="J137" s="30"/>
      <c r="K137" s="30"/>
      <c r="L137" s="30"/>
      <c r="M137" s="30"/>
      <c r="N137" s="42"/>
    </row>
    <row r="138" spans="1:14" x14ac:dyDescent="0.25">
      <c r="A138" s="87" t="s">
        <v>190</v>
      </c>
      <c r="B138" s="80" t="s">
        <v>191</v>
      </c>
      <c r="C138" s="85">
        <v>-16.739999999999998</v>
      </c>
      <c r="D138" s="85">
        <v>-42.57</v>
      </c>
      <c r="E138" s="85"/>
      <c r="F138" s="85"/>
      <c r="G138" s="85"/>
      <c r="H138" s="85"/>
      <c r="I138" s="116"/>
      <c r="J138" s="85"/>
      <c r="K138" s="85"/>
      <c r="L138" s="85"/>
      <c r="M138" s="85"/>
      <c r="N138" s="72"/>
    </row>
    <row r="139" spans="1:14" x14ac:dyDescent="0.25">
      <c r="A139" s="194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6"/>
    </row>
    <row r="140" spans="1:14" ht="18.75" x14ac:dyDescent="0.25">
      <c r="A140" s="173" t="s">
        <v>311</v>
      </c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74"/>
    </row>
    <row r="141" spans="1:14" x14ac:dyDescent="0.25">
      <c r="A141" s="175" t="s">
        <v>292</v>
      </c>
      <c r="B141" s="150" t="s">
        <v>293</v>
      </c>
      <c r="C141" s="151" t="s">
        <v>312</v>
      </c>
      <c r="D141" s="152"/>
      <c r="E141" s="152"/>
      <c r="F141" s="153"/>
      <c r="G141" s="151" t="s">
        <v>313</v>
      </c>
      <c r="H141" s="152"/>
      <c r="I141" s="152"/>
      <c r="J141" s="153"/>
      <c r="K141" s="157"/>
      <c r="L141" s="158"/>
      <c r="M141" s="158"/>
      <c r="N141" s="176"/>
    </row>
    <row r="142" spans="1:14" x14ac:dyDescent="0.25">
      <c r="A142" s="175"/>
      <c r="B142" s="150"/>
      <c r="C142" s="154"/>
      <c r="D142" s="155"/>
      <c r="E142" s="155"/>
      <c r="F142" s="156"/>
      <c r="G142" s="154"/>
      <c r="H142" s="155"/>
      <c r="I142" s="155"/>
      <c r="J142" s="156"/>
      <c r="K142" s="30"/>
      <c r="L142" s="30"/>
      <c r="M142" s="30"/>
      <c r="N142" s="42"/>
    </row>
    <row r="143" spans="1:14" ht="15.75" thickBot="1" x14ac:dyDescent="0.3">
      <c r="A143" s="49"/>
      <c r="B143" s="50"/>
      <c r="C143" s="177"/>
      <c r="D143" s="177"/>
      <c r="E143" s="177"/>
      <c r="F143" s="177"/>
      <c r="G143" s="177"/>
      <c r="H143" s="177"/>
      <c r="I143" s="177"/>
      <c r="J143" s="177"/>
      <c r="K143" s="138"/>
      <c r="L143" s="138"/>
      <c r="M143" s="51"/>
      <c r="N143" s="52"/>
    </row>
    <row r="144" spans="1:14" ht="16.5" thickTop="1" thickBot="1" x14ac:dyDescent="0.3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</row>
    <row r="145" spans="1:14" ht="19.5" thickTop="1" x14ac:dyDescent="0.25">
      <c r="A145" s="178" t="s">
        <v>461</v>
      </c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80"/>
    </row>
    <row r="146" spans="1:14" x14ac:dyDescent="0.25">
      <c r="A146" s="171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72"/>
    </row>
    <row r="147" spans="1:14" ht="18.75" x14ac:dyDescent="0.25">
      <c r="A147" s="173" t="s">
        <v>291</v>
      </c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74"/>
    </row>
    <row r="148" spans="1:14" x14ac:dyDescent="0.25">
      <c r="A148" s="175" t="s">
        <v>292</v>
      </c>
      <c r="B148" s="150" t="s">
        <v>293</v>
      </c>
      <c r="C148" s="157" t="s">
        <v>294</v>
      </c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76"/>
    </row>
    <row r="149" spans="1:14" x14ac:dyDescent="0.25">
      <c r="A149" s="175"/>
      <c r="B149" s="150"/>
      <c r="C149" s="30" t="s">
        <v>295</v>
      </c>
      <c r="D149" s="30" t="s">
        <v>296</v>
      </c>
      <c r="E149" s="30" t="s">
        <v>297</v>
      </c>
      <c r="F149" s="30" t="s">
        <v>298</v>
      </c>
      <c r="G149" s="30" t="s">
        <v>299</v>
      </c>
      <c r="H149" s="30" t="s">
        <v>300</v>
      </c>
      <c r="I149" s="30" t="s">
        <v>301</v>
      </c>
      <c r="J149" s="30" t="s">
        <v>302</v>
      </c>
      <c r="K149" s="30" t="s">
        <v>303</v>
      </c>
      <c r="L149" s="30" t="s">
        <v>304</v>
      </c>
      <c r="M149" s="30" t="s">
        <v>305</v>
      </c>
      <c r="N149" s="42" t="s">
        <v>306</v>
      </c>
    </row>
    <row r="150" spans="1:14" x14ac:dyDescent="0.25">
      <c r="A150" s="87">
        <v>188</v>
      </c>
      <c r="B150" s="80" t="s">
        <v>193</v>
      </c>
      <c r="C150" s="85"/>
      <c r="D150" s="85"/>
      <c r="E150" s="85"/>
      <c r="F150" s="85"/>
      <c r="G150" s="85"/>
      <c r="H150" s="85"/>
      <c r="I150" s="116"/>
      <c r="J150" s="85"/>
      <c r="K150" s="85"/>
      <c r="L150" s="85"/>
      <c r="M150" s="85"/>
      <c r="N150" s="72"/>
    </row>
    <row r="151" spans="1:14" x14ac:dyDescent="0.25">
      <c r="A151" s="171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72"/>
    </row>
    <row r="152" spans="1:14" x14ac:dyDescent="0.25">
      <c r="A152" s="175" t="s">
        <v>292</v>
      </c>
      <c r="B152" s="150" t="s">
        <v>293</v>
      </c>
      <c r="C152" s="157" t="s">
        <v>308</v>
      </c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76"/>
    </row>
    <row r="153" spans="1:14" x14ac:dyDescent="0.25">
      <c r="A153" s="175"/>
      <c r="B153" s="150"/>
      <c r="C153" s="30" t="s">
        <v>295</v>
      </c>
      <c r="D153" s="30" t="s">
        <v>296</v>
      </c>
      <c r="E153" s="30" t="s">
        <v>297</v>
      </c>
      <c r="F153" s="30" t="s">
        <v>298</v>
      </c>
      <c r="G153" s="30" t="s">
        <v>299</v>
      </c>
      <c r="H153" s="30" t="s">
        <v>300</v>
      </c>
      <c r="I153" s="30" t="s">
        <v>301</v>
      </c>
      <c r="J153" s="30" t="s">
        <v>302</v>
      </c>
      <c r="K153" s="30" t="s">
        <v>303</v>
      </c>
      <c r="L153" s="30" t="s">
        <v>304</v>
      </c>
      <c r="M153" s="30" t="s">
        <v>305</v>
      </c>
      <c r="N153" s="42" t="s">
        <v>306</v>
      </c>
    </row>
    <row r="154" spans="1:14" x14ac:dyDescent="0.25">
      <c r="A154" s="87">
        <v>188</v>
      </c>
      <c r="B154" s="80" t="s">
        <v>193</v>
      </c>
      <c r="C154" s="91">
        <v>5.58</v>
      </c>
      <c r="D154" s="91">
        <v>5.79</v>
      </c>
      <c r="E154" s="91">
        <v>5.26</v>
      </c>
      <c r="F154" s="91">
        <v>4.5999999999999996</v>
      </c>
      <c r="G154" s="91">
        <v>3.9</v>
      </c>
      <c r="H154" s="91">
        <v>3.53</v>
      </c>
      <c r="I154" s="91">
        <v>3.77</v>
      </c>
      <c r="J154" s="91">
        <v>4.58</v>
      </c>
      <c r="K154" s="91">
        <v>4.83</v>
      </c>
      <c r="L154" s="91">
        <v>5</v>
      </c>
      <c r="M154" s="91">
        <v>5.07</v>
      </c>
      <c r="N154" s="92">
        <v>5</v>
      </c>
    </row>
    <row r="155" spans="1:14" x14ac:dyDescent="0.25">
      <c r="A155" s="171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72"/>
    </row>
    <row r="156" spans="1:14" ht="18.75" x14ac:dyDescent="0.25">
      <c r="A156" s="173" t="s">
        <v>309</v>
      </c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74"/>
    </row>
    <row r="157" spans="1:14" x14ac:dyDescent="0.25">
      <c r="A157" s="175" t="s">
        <v>292</v>
      </c>
      <c r="B157" s="150" t="s">
        <v>293</v>
      </c>
      <c r="C157" s="150" t="s">
        <v>1</v>
      </c>
      <c r="D157" s="150" t="s">
        <v>2</v>
      </c>
      <c r="E157" s="150" t="s">
        <v>310</v>
      </c>
      <c r="F157" s="150"/>
      <c r="G157" s="150"/>
      <c r="H157" s="150"/>
      <c r="I157" s="30"/>
      <c r="J157" s="30"/>
      <c r="K157" s="30"/>
      <c r="L157" s="30"/>
      <c r="M157" s="30"/>
      <c r="N157" s="42"/>
    </row>
    <row r="158" spans="1:14" x14ac:dyDescent="0.25">
      <c r="A158" s="175"/>
      <c r="B158" s="150"/>
      <c r="C158" s="150"/>
      <c r="D158" s="150"/>
      <c r="E158" s="30" t="s">
        <v>292</v>
      </c>
      <c r="F158" s="30" t="s">
        <v>293</v>
      </c>
      <c r="G158" s="30" t="s">
        <v>1</v>
      </c>
      <c r="H158" s="30" t="s">
        <v>2</v>
      </c>
      <c r="I158" s="30"/>
      <c r="J158" s="30"/>
      <c r="K158" s="30"/>
      <c r="L158" s="30"/>
      <c r="M158" s="30"/>
      <c r="N158" s="42"/>
    </row>
    <row r="159" spans="1:14" x14ac:dyDescent="0.25">
      <c r="A159" s="90" t="s">
        <v>192</v>
      </c>
      <c r="B159" s="80" t="s">
        <v>193</v>
      </c>
      <c r="C159" s="85">
        <v>-15.97</v>
      </c>
      <c r="D159" s="85">
        <v>-39.590000000000003</v>
      </c>
      <c r="E159" s="71"/>
      <c r="F159" s="71"/>
      <c r="G159" s="71"/>
      <c r="H159" s="71"/>
      <c r="I159" s="73"/>
      <c r="J159" s="73"/>
      <c r="K159" s="73"/>
      <c r="L159" s="73"/>
      <c r="M159" s="73"/>
      <c r="N159" s="74"/>
    </row>
    <row r="160" spans="1:14" x14ac:dyDescent="0.25">
      <c r="A160" s="171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72"/>
    </row>
    <row r="161" spans="1:14" ht="18.75" x14ac:dyDescent="0.25">
      <c r="A161" s="173" t="s">
        <v>311</v>
      </c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74"/>
    </row>
    <row r="162" spans="1:14" x14ac:dyDescent="0.25">
      <c r="A162" s="175" t="s">
        <v>292</v>
      </c>
      <c r="B162" s="150" t="s">
        <v>293</v>
      </c>
      <c r="C162" s="151" t="s">
        <v>312</v>
      </c>
      <c r="D162" s="152"/>
      <c r="E162" s="152"/>
      <c r="F162" s="153"/>
      <c r="G162" s="151" t="s">
        <v>313</v>
      </c>
      <c r="H162" s="152"/>
      <c r="I162" s="152"/>
      <c r="J162" s="153"/>
      <c r="K162" s="157"/>
      <c r="L162" s="158"/>
      <c r="M162" s="158"/>
      <c r="N162" s="176"/>
    </row>
    <row r="163" spans="1:14" x14ac:dyDescent="0.25">
      <c r="A163" s="175"/>
      <c r="B163" s="150"/>
      <c r="C163" s="154"/>
      <c r="D163" s="155"/>
      <c r="E163" s="155"/>
      <c r="F163" s="156"/>
      <c r="G163" s="154"/>
      <c r="H163" s="155"/>
      <c r="I163" s="155"/>
      <c r="J163" s="156"/>
      <c r="K163" s="30"/>
      <c r="L163" s="30"/>
      <c r="M163" s="30"/>
      <c r="N163" s="42"/>
    </row>
    <row r="164" spans="1:14" ht="15.75" thickBot="1" x14ac:dyDescent="0.3">
      <c r="A164" s="139"/>
      <c r="B164" s="50"/>
      <c r="C164" s="177"/>
      <c r="D164" s="177"/>
      <c r="E164" s="177"/>
      <c r="F164" s="177"/>
      <c r="G164" s="220"/>
      <c r="H164" s="177"/>
      <c r="I164" s="177"/>
      <c r="J164" s="177"/>
      <c r="K164" s="138"/>
      <c r="L164" s="138"/>
      <c r="M164" s="51"/>
      <c r="N164" s="52"/>
    </row>
    <row r="165" spans="1:14" ht="16.5" thickTop="1" thickBot="1" x14ac:dyDescent="0.3"/>
    <row r="166" spans="1:14" ht="19.5" thickTop="1" x14ac:dyDescent="0.25">
      <c r="A166" s="178" t="s">
        <v>462</v>
      </c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80"/>
    </row>
    <row r="167" spans="1:14" x14ac:dyDescent="0.25">
      <c r="A167" s="171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72"/>
    </row>
    <row r="168" spans="1:14" ht="18.75" x14ac:dyDescent="0.25">
      <c r="A168" s="173" t="s">
        <v>291</v>
      </c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74"/>
    </row>
    <row r="169" spans="1:14" x14ac:dyDescent="0.25">
      <c r="A169" s="175" t="s">
        <v>292</v>
      </c>
      <c r="B169" s="150" t="s">
        <v>293</v>
      </c>
      <c r="C169" s="157" t="s">
        <v>294</v>
      </c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76"/>
    </row>
    <row r="170" spans="1:14" x14ac:dyDescent="0.25">
      <c r="A170" s="175"/>
      <c r="B170" s="150"/>
      <c r="C170" s="30" t="s">
        <v>295</v>
      </c>
      <c r="D170" s="30" t="s">
        <v>296</v>
      </c>
      <c r="E170" s="30" t="s">
        <v>297</v>
      </c>
      <c r="F170" s="30" t="s">
        <v>298</v>
      </c>
      <c r="G170" s="30" t="s">
        <v>299</v>
      </c>
      <c r="H170" s="30" t="s">
        <v>300</v>
      </c>
      <c r="I170" s="30" t="s">
        <v>301</v>
      </c>
      <c r="J170" s="30" t="s">
        <v>302</v>
      </c>
      <c r="K170" s="30" t="s">
        <v>303</v>
      </c>
      <c r="L170" s="30" t="s">
        <v>304</v>
      </c>
      <c r="M170" s="30" t="s">
        <v>305</v>
      </c>
      <c r="N170" s="42" t="s">
        <v>306</v>
      </c>
    </row>
    <row r="171" spans="1:14" x14ac:dyDescent="0.25">
      <c r="A171" s="87">
        <v>190</v>
      </c>
      <c r="B171" s="80" t="s">
        <v>463</v>
      </c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2"/>
    </row>
    <row r="172" spans="1:14" x14ac:dyDescent="0.25">
      <c r="A172" s="171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72"/>
    </row>
    <row r="173" spans="1:14" x14ac:dyDescent="0.25">
      <c r="A173" s="175" t="s">
        <v>292</v>
      </c>
      <c r="B173" s="150" t="s">
        <v>293</v>
      </c>
      <c r="C173" s="157" t="s">
        <v>308</v>
      </c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76"/>
    </row>
    <row r="174" spans="1:14" x14ac:dyDescent="0.25">
      <c r="A174" s="175"/>
      <c r="B174" s="150"/>
      <c r="C174" s="30" t="s">
        <v>295</v>
      </c>
      <c r="D174" s="30" t="s">
        <v>296</v>
      </c>
      <c r="E174" s="30" t="s">
        <v>297</v>
      </c>
      <c r="F174" s="30" t="s">
        <v>298</v>
      </c>
      <c r="G174" s="30" t="s">
        <v>299</v>
      </c>
      <c r="H174" s="30" t="s">
        <v>300</v>
      </c>
      <c r="I174" s="30" t="s">
        <v>301</v>
      </c>
      <c r="J174" s="30" t="s">
        <v>302</v>
      </c>
      <c r="K174" s="30" t="s">
        <v>303</v>
      </c>
      <c r="L174" s="30" t="s">
        <v>304</v>
      </c>
      <c r="M174" s="30" t="s">
        <v>305</v>
      </c>
      <c r="N174" s="42" t="s">
        <v>306</v>
      </c>
    </row>
    <row r="175" spans="1:14" x14ac:dyDescent="0.25">
      <c r="A175" s="87">
        <v>190</v>
      </c>
      <c r="B175" s="80" t="s">
        <v>463</v>
      </c>
      <c r="C175" s="91">
        <v>5.0599999999999996</v>
      </c>
      <c r="D175" s="91">
        <v>5.39</v>
      </c>
      <c r="E175" s="91">
        <v>5.19</v>
      </c>
      <c r="F175" s="91">
        <v>4.93</v>
      </c>
      <c r="G175" s="91">
        <v>4.6100000000000003</v>
      </c>
      <c r="H175" s="91">
        <v>4.43</v>
      </c>
      <c r="I175" s="91">
        <v>4.84</v>
      </c>
      <c r="J175" s="91">
        <v>5.68</v>
      </c>
      <c r="K175" s="91">
        <v>5.73</v>
      </c>
      <c r="L175" s="91">
        <v>5.48</v>
      </c>
      <c r="M175" s="91">
        <v>5.13</v>
      </c>
      <c r="N175" s="92">
        <v>4.74</v>
      </c>
    </row>
    <row r="176" spans="1:14" x14ac:dyDescent="0.25">
      <c r="A176" s="194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6"/>
    </row>
    <row r="177" spans="1:14" ht="18.75" x14ac:dyDescent="0.25">
      <c r="A177" s="173" t="s">
        <v>309</v>
      </c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74"/>
    </row>
    <row r="178" spans="1:14" x14ac:dyDescent="0.25">
      <c r="A178" s="175" t="s">
        <v>292</v>
      </c>
      <c r="B178" s="150" t="s">
        <v>293</v>
      </c>
      <c r="C178" s="150" t="s">
        <v>1</v>
      </c>
      <c r="D178" s="150" t="s">
        <v>2</v>
      </c>
      <c r="E178" s="150" t="s">
        <v>310</v>
      </c>
      <c r="F178" s="150"/>
      <c r="G178" s="150"/>
      <c r="H178" s="150"/>
      <c r="I178" s="221" t="s">
        <v>464</v>
      </c>
      <c r="J178" s="30"/>
      <c r="K178" s="30"/>
      <c r="L178" s="30"/>
      <c r="M178" s="30"/>
      <c r="N178" s="42"/>
    </row>
    <row r="179" spans="1:14" x14ac:dyDescent="0.25">
      <c r="A179" s="175"/>
      <c r="B179" s="150"/>
      <c r="C179" s="150"/>
      <c r="D179" s="150"/>
      <c r="E179" s="30" t="s">
        <v>292</v>
      </c>
      <c r="F179" s="30" t="s">
        <v>293</v>
      </c>
      <c r="G179" s="30" t="s">
        <v>1</v>
      </c>
      <c r="H179" s="30" t="s">
        <v>2</v>
      </c>
      <c r="I179" s="222"/>
      <c r="J179" s="30"/>
      <c r="K179" s="30"/>
      <c r="L179" s="30"/>
      <c r="M179" s="30"/>
      <c r="N179" s="42"/>
    </row>
    <row r="180" spans="1:14" x14ac:dyDescent="0.25">
      <c r="A180" s="87" t="s">
        <v>194</v>
      </c>
      <c r="B180" s="80" t="s">
        <v>465</v>
      </c>
      <c r="C180" s="85">
        <v>-6.75</v>
      </c>
      <c r="D180" s="85">
        <v>-43.57</v>
      </c>
      <c r="E180" s="85"/>
      <c r="F180" s="85"/>
      <c r="G180" s="85"/>
      <c r="H180" s="85"/>
      <c r="I180" s="116"/>
      <c r="J180" s="85"/>
      <c r="K180" s="85"/>
      <c r="L180" s="85"/>
      <c r="M180" s="85"/>
      <c r="N180" s="85"/>
    </row>
    <row r="181" spans="1:14" x14ac:dyDescent="0.25">
      <c r="A181" s="194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6"/>
    </row>
    <row r="182" spans="1:14" ht="18.75" x14ac:dyDescent="0.25">
      <c r="A182" s="173" t="s">
        <v>311</v>
      </c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74"/>
    </row>
    <row r="183" spans="1:14" x14ac:dyDescent="0.25">
      <c r="A183" s="175" t="s">
        <v>292</v>
      </c>
      <c r="B183" s="150" t="s">
        <v>293</v>
      </c>
      <c r="C183" s="151" t="s">
        <v>312</v>
      </c>
      <c r="D183" s="152"/>
      <c r="E183" s="152"/>
      <c r="F183" s="153"/>
      <c r="G183" s="151" t="s">
        <v>313</v>
      </c>
      <c r="H183" s="152"/>
      <c r="I183" s="152"/>
      <c r="J183" s="153"/>
      <c r="K183" s="30"/>
      <c r="L183" s="30"/>
      <c r="M183" s="30"/>
      <c r="N183" s="42"/>
    </row>
    <row r="184" spans="1:14" x14ac:dyDescent="0.25">
      <c r="A184" s="175"/>
      <c r="B184" s="150"/>
      <c r="C184" s="154"/>
      <c r="D184" s="155"/>
      <c r="E184" s="155"/>
      <c r="F184" s="156"/>
      <c r="G184" s="154"/>
      <c r="H184" s="155"/>
      <c r="I184" s="155"/>
      <c r="J184" s="156"/>
      <c r="K184" s="30"/>
      <c r="L184" s="30"/>
      <c r="M184" s="30"/>
      <c r="N184" s="42"/>
    </row>
    <row r="185" spans="1:14" ht="15.75" thickBot="1" x14ac:dyDescent="0.3">
      <c r="A185" s="49"/>
      <c r="B185" s="50"/>
      <c r="C185" s="177"/>
      <c r="D185" s="177"/>
      <c r="E185" s="177"/>
      <c r="F185" s="177"/>
      <c r="G185" s="177"/>
      <c r="H185" s="177"/>
      <c r="I185" s="177"/>
      <c r="J185" s="177"/>
      <c r="K185" s="51"/>
      <c r="L185" s="51"/>
      <c r="M185" s="51"/>
      <c r="N185" s="52"/>
    </row>
    <row r="186" spans="1:14" ht="16.5" thickTop="1" thickBot="1" x14ac:dyDescent="0.3"/>
    <row r="187" spans="1:14" ht="19.5" thickTop="1" x14ac:dyDescent="0.25">
      <c r="A187" s="178" t="s">
        <v>466</v>
      </c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80"/>
    </row>
    <row r="188" spans="1:14" x14ac:dyDescent="0.25">
      <c r="A188" s="171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72"/>
    </row>
    <row r="189" spans="1:14" ht="18.75" x14ac:dyDescent="0.25">
      <c r="A189" s="173" t="s">
        <v>291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4"/>
    </row>
    <row r="190" spans="1:14" x14ac:dyDescent="0.25">
      <c r="A190" s="175" t="s">
        <v>292</v>
      </c>
      <c r="B190" s="150" t="s">
        <v>293</v>
      </c>
      <c r="C190" s="157" t="s">
        <v>294</v>
      </c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76"/>
    </row>
    <row r="191" spans="1:14" x14ac:dyDescent="0.25">
      <c r="A191" s="175"/>
      <c r="B191" s="150"/>
      <c r="C191" s="30" t="s">
        <v>295</v>
      </c>
      <c r="D191" s="30" t="s">
        <v>296</v>
      </c>
      <c r="E191" s="30" t="s">
        <v>297</v>
      </c>
      <c r="F191" s="30" t="s">
        <v>298</v>
      </c>
      <c r="G191" s="30" t="s">
        <v>299</v>
      </c>
      <c r="H191" s="30" t="s">
        <v>300</v>
      </c>
      <c r="I191" s="30" t="s">
        <v>301</v>
      </c>
      <c r="J191" s="30" t="s">
        <v>302</v>
      </c>
      <c r="K191" s="30" t="s">
        <v>303</v>
      </c>
      <c r="L191" s="30" t="s">
        <v>304</v>
      </c>
      <c r="M191" s="30" t="s">
        <v>305</v>
      </c>
      <c r="N191" s="42" t="s">
        <v>306</v>
      </c>
    </row>
    <row r="192" spans="1:14" x14ac:dyDescent="0.25">
      <c r="A192" s="87">
        <v>254</v>
      </c>
      <c r="B192" s="80" t="s">
        <v>205</v>
      </c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2"/>
    </row>
    <row r="193" spans="1:14" x14ac:dyDescent="0.25">
      <c r="A193" s="171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72"/>
    </row>
    <row r="194" spans="1:14" x14ac:dyDescent="0.25">
      <c r="A194" s="175" t="s">
        <v>292</v>
      </c>
      <c r="B194" s="150" t="s">
        <v>293</v>
      </c>
      <c r="C194" s="157" t="s">
        <v>308</v>
      </c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76"/>
    </row>
    <row r="195" spans="1:14" x14ac:dyDescent="0.25">
      <c r="A195" s="175"/>
      <c r="B195" s="150"/>
      <c r="C195" s="30" t="s">
        <v>295</v>
      </c>
      <c r="D195" s="30" t="s">
        <v>296</v>
      </c>
      <c r="E195" s="30" t="s">
        <v>297</v>
      </c>
      <c r="F195" s="30" t="s">
        <v>298</v>
      </c>
      <c r="G195" s="30" t="s">
        <v>299</v>
      </c>
      <c r="H195" s="30" t="s">
        <v>300</v>
      </c>
      <c r="I195" s="30" t="s">
        <v>301</v>
      </c>
      <c r="J195" s="30" t="s">
        <v>302</v>
      </c>
      <c r="K195" s="30" t="s">
        <v>303</v>
      </c>
      <c r="L195" s="30" t="s">
        <v>304</v>
      </c>
      <c r="M195" s="30" t="s">
        <v>305</v>
      </c>
      <c r="N195" s="42" t="s">
        <v>306</v>
      </c>
    </row>
    <row r="196" spans="1:14" x14ac:dyDescent="0.25">
      <c r="A196" s="87">
        <v>254</v>
      </c>
      <c r="B196" s="80" t="s">
        <v>205</v>
      </c>
      <c r="C196" s="91">
        <v>5.39</v>
      </c>
      <c r="D196" s="91">
        <v>5.68</v>
      </c>
      <c r="E196" s="91">
        <v>5.26</v>
      </c>
      <c r="F196" s="91">
        <v>4.7</v>
      </c>
      <c r="G196" s="91">
        <v>4.13</v>
      </c>
      <c r="H196" s="91">
        <v>3.83</v>
      </c>
      <c r="I196" s="91">
        <v>4.13</v>
      </c>
      <c r="J196" s="91">
        <v>4.97</v>
      </c>
      <c r="K196" s="91">
        <v>5.17</v>
      </c>
      <c r="L196" s="91">
        <v>5.23</v>
      </c>
      <c r="M196" s="91">
        <v>5.13</v>
      </c>
      <c r="N196" s="92">
        <v>4.9400000000000004</v>
      </c>
    </row>
    <row r="197" spans="1:14" x14ac:dyDescent="0.25">
      <c r="A197" s="194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6"/>
    </row>
    <row r="198" spans="1:14" ht="18.75" x14ac:dyDescent="0.25">
      <c r="A198" s="173" t="s">
        <v>309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4"/>
    </row>
    <row r="199" spans="1:14" x14ac:dyDescent="0.25">
      <c r="A199" s="175" t="s">
        <v>292</v>
      </c>
      <c r="B199" s="150" t="s">
        <v>293</v>
      </c>
      <c r="C199" s="150" t="s">
        <v>1</v>
      </c>
      <c r="D199" s="150" t="s">
        <v>2</v>
      </c>
      <c r="E199" s="150" t="s">
        <v>310</v>
      </c>
      <c r="F199" s="150"/>
      <c r="G199" s="150"/>
      <c r="H199" s="150"/>
      <c r="I199" s="221" t="s">
        <v>464</v>
      </c>
      <c r="J199" s="30"/>
      <c r="K199" s="30"/>
      <c r="L199" s="30"/>
      <c r="M199" s="30"/>
      <c r="N199" s="42"/>
    </row>
    <row r="200" spans="1:14" x14ac:dyDescent="0.25">
      <c r="A200" s="175"/>
      <c r="B200" s="150"/>
      <c r="C200" s="150"/>
      <c r="D200" s="150"/>
      <c r="E200" s="30" t="s">
        <v>292</v>
      </c>
      <c r="F200" s="30" t="s">
        <v>293</v>
      </c>
      <c r="G200" s="30" t="s">
        <v>1</v>
      </c>
      <c r="H200" s="30" t="s">
        <v>2</v>
      </c>
      <c r="I200" s="222"/>
      <c r="J200" s="30"/>
      <c r="K200" s="30"/>
      <c r="L200" s="30"/>
      <c r="M200" s="30"/>
      <c r="N200" s="42"/>
    </row>
    <row r="201" spans="1:14" x14ac:dyDescent="0.25">
      <c r="A201" s="87" t="s">
        <v>204</v>
      </c>
      <c r="B201" s="80" t="s">
        <v>205</v>
      </c>
      <c r="C201" s="85">
        <v>-12.58</v>
      </c>
      <c r="D201" s="85">
        <v>-39</v>
      </c>
      <c r="E201" s="85"/>
      <c r="F201" s="85"/>
      <c r="G201" s="85"/>
      <c r="H201" s="85"/>
      <c r="I201" s="116"/>
      <c r="J201" s="85"/>
      <c r="K201" s="85"/>
      <c r="L201" s="85"/>
      <c r="M201" s="85"/>
      <c r="N201" s="72"/>
    </row>
    <row r="202" spans="1:14" x14ac:dyDescent="0.25">
      <c r="A202" s="194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6"/>
    </row>
    <row r="203" spans="1:14" ht="18.75" x14ac:dyDescent="0.25">
      <c r="A203" s="173" t="s">
        <v>311</v>
      </c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74"/>
    </row>
    <row r="204" spans="1:14" x14ac:dyDescent="0.25">
      <c r="A204" s="175" t="s">
        <v>292</v>
      </c>
      <c r="B204" s="150" t="s">
        <v>293</v>
      </c>
      <c r="C204" s="151" t="s">
        <v>312</v>
      </c>
      <c r="D204" s="152"/>
      <c r="E204" s="152"/>
      <c r="F204" s="153"/>
      <c r="G204" s="151" t="s">
        <v>313</v>
      </c>
      <c r="H204" s="152"/>
      <c r="I204" s="152"/>
      <c r="J204" s="153"/>
      <c r="K204" s="30"/>
      <c r="L204" s="30"/>
      <c r="M204" s="30"/>
      <c r="N204" s="42"/>
    </row>
    <row r="205" spans="1:14" x14ac:dyDescent="0.25">
      <c r="A205" s="175"/>
      <c r="B205" s="150"/>
      <c r="C205" s="154"/>
      <c r="D205" s="155"/>
      <c r="E205" s="155"/>
      <c r="F205" s="156"/>
      <c r="G205" s="154"/>
      <c r="H205" s="155"/>
      <c r="I205" s="155"/>
      <c r="J205" s="156"/>
      <c r="K205" s="30"/>
      <c r="L205" s="30"/>
      <c r="M205" s="30"/>
      <c r="N205" s="42"/>
    </row>
    <row r="206" spans="1:14" ht="15.75" thickBot="1" x14ac:dyDescent="0.3">
      <c r="A206" s="49"/>
      <c r="B206" s="50"/>
      <c r="C206" s="177"/>
      <c r="D206" s="177"/>
      <c r="E206" s="177"/>
      <c r="F206" s="177"/>
      <c r="G206" s="177"/>
      <c r="H206" s="177"/>
      <c r="I206" s="177"/>
      <c r="J206" s="177"/>
      <c r="K206" s="51"/>
      <c r="L206" s="51"/>
      <c r="M206" s="51"/>
      <c r="N206" s="52"/>
    </row>
    <row r="207" spans="1:14" ht="15.75" thickTop="1" x14ac:dyDescent="0.25"/>
  </sheetData>
  <mergeCells count="253">
    <mergeCell ref="A203:N203"/>
    <mergeCell ref="A204:A205"/>
    <mergeCell ref="B204:B205"/>
    <mergeCell ref="C204:F205"/>
    <mergeCell ref="G204:J205"/>
    <mergeCell ref="C206:F206"/>
    <mergeCell ref="G206:J206"/>
    <mergeCell ref="A197:N197"/>
    <mergeCell ref="A198:N198"/>
    <mergeCell ref="A199:A200"/>
    <mergeCell ref="B199:B200"/>
    <mergeCell ref="C199:C200"/>
    <mergeCell ref="D199:D200"/>
    <mergeCell ref="E199:H199"/>
    <mergeCell ref="I199:I200"/>
    <mergeCell ref="A202:N202"/>
    <mergeCell ref="A188:N188"/>
    <mergeCell ref="A189:N189"/>
    <mergeCell ref="A190:A191"/>
    <mergeCell ref="B190:B191"/>
    <mergeCell ref="C190:N190"/>
    <mergeCell ref="A193:N193"/>
    <mergeCell ref="A194:A195"/>
    <mergeCell ref="B194:B195"/>
    <mergeCell ref="C194:N194"/>
    <mergeCell ref="A181:N181"/>
    <mergeCell ref="A182:N182"/>
    <mergeCell ref="A183:A184"/>
    <mergeCell ref="B183:B184"/>
    <mergeCell ref="C183:F184"/>
    <mergeCell ref="G183:J184"/>
    <mergeCell ref="C185:F185"/>
    <mergeCell ref="G185:J185"/>
    <mergeCell ref="A187:N187"/>
    <mergeCell ref="A173:A174"/>
    <mergeCell ref="B173:B174"/>
    <mergeCell ref="C173:N173"/>
    <mergeCell ref="A176:N176"/>
    <mergeCell ref="A177:N177"/>
    <mergeCell ref="A178:A179"/>
    <mergeCell ref="B178:B179"/>
    <mergeCell ref="C178:C179"/>
    <mergeCell ref="D178:D179"/>
    <mergeCell ref="E178:H178"/>
    <mergeCell ref="I178:I179"/>
    <mergeCell ref="C164:F164"/>
    <mergeCell ref="G164:J164"/>
    <mergeCell ref="A166:N166"/>
    <mergeCell ref="A167:N167"/>
    <mergeCell ref="A168:N168"/>
    <mergeCell ref="A169:A170"/>
    <mergeCell ref="B169:B170"/>
    <mergeCell ref="C169:N169"/>
    <mergeCell ref="A172:N172"/>
    <mergeCell ref="A157:A158"/>
    <mergeCell ref="B157:B158"/>
    <mergeCell ref="C157:C158"/>
    <mergeCell ref="D157:D158"/>
    <mergeCell ref="E157:H157"/>
    <mergeCell ref="A160:N160"/>
    <mergeCell ref="A161:N161"/>
    <mergeCell ref="A162:A163"/>
    <mergeCell ref="B162:B163"/>
    <mergeCell ref="C162:F163"/>
    <mergeCell ref="G162:J163"/>
    <mergeCell ref="K162:N162"/>
    <mergeCell ref="A148:A149"/>
    <mergeCell ref="B148:B149"/>
    <mergeCell ref="C148:N148"/>
    <mergeCell ref="A151:N151"/>
    <mergeCell ref="A152:A153"/>
    <mergeCell ref="B152:B153"/>
    <mergeCell ref="C152:N152"/>
    <mergeCell ref="A155:N155"/>
    <mergeCell ref="A156:N156"/>
    <mergeCell ref="A141:A142"/>
    <mergeCell ref="B141:B142"/>
    <mergeCell ref="C141:F142"/>
    <mergeCell ref="G141:J142"/>
    <mergeCell ref="C143:F143"/>
    <mergeCell ref="G143:J143"/>
    <mergeCell ref="A145:N145"/>
    <mergeCell ref="A146:N146"/>
    <mergeCell ref="A147:N147"/>
    <mergeCell ref="K141:N141"/>
    <mergeCell ref="A134:N134"/>
    <mergeCell ref="A135:N135"/>
    <mergeCell ref="A136:A137"/>
    <mergeCell ref="B136:B137"/>
    <mergeCell ref="C136:C137"/>
    <mergeCell ref="D136:D137"/>
    <mergeCell ref="E136:H136"/>
    <mergeCell ref="A139:N139"/>
    <mergeCell ref="A140:N140"/>
    <mergeCell ref="A124:N124"/>
    <mergeCell ref="A125:N125"/>
    <mergeCell ref="A126:N126"/>
    <mergeCell ref="A127:A128"/>
    <mergeCell ref="B127:B128"/>
    <mergeCell ref="C127:N127"/>
    <mergeCell ref="A130:N130"/>
    <mergeCell ref="A131:A132"/>
    <mergeCell ref="B131:B132"/>
    <mergeCell ref="C131:N131"/>
    <mergeCell ref="A98:N98"/>
    <mergeCell ref="C102:F102"/>
    <mergeCell ref="G102:J102"/>
    <mergeCell ref="A59:N59"/>
    <mergeCell ref="A60:A61"/>
    <mergeCell ref="B60:B61"/>
    <mergeCell ref="C60:F61"/>
    <mergeCell ref="G60:J61"/>
    <mergeCell ref="C62:F62"/>
    <mergeCell ref="G62:J62"/>
    <mergeCell ref="A99:N99"/>
    <mergeCell ref="A100:A101"/>
    <mergeCell ref="B100:B101"/>
    <mergeCell ref="C100:F101"/>
    <mergeCell ref="G100:J101"/>
    <mergeCell ref="A93:N93"/>
    <mergeCell ref="A94:N94"/>
    <mergeCell ref="A95:A96"/>
    <mergeCell ref="B95:B96"/>
    <mergeCell ref="C95:C96"/>
    <mergeCell ref="D95:D96"/>
    <mergeCell ref="E95:H95"/>
    <mergeCell ref="A86:A87"/>
    <mergeCell ref="B86:B87"/>
    <mergeCell ref="C86:N86"/>
    <mergeCell ref="A89:N89"/>
    <mergeCell ref="A90:A91"/>
    <mergeCell ref="B90:B91"/>
    <mergeCell ref="C90:N90"/>
    <mergeCell ref="C82:F82"/>
    <mergeCell ref="G82:J82"/>
    <mergeCell ref="A83:N83"/>
    <mergeCell ref="A84:N84"/>
    <mergeCell ref="A85:N85"/>
    <mergeCell ref="A79:N79"/>
    <mergeCell ref="A80:A81"/>
    <mergeCell ref="B80:B81"/>
    <mergeCell ref="C80:F81"/>
    <mergeCell ref="G80:J81"/>
    <mergeCell ref="A73:N73"/>
    <mergeCell ref="A74:N74"/>
    <mergeCell ref="A75:A76"/>
    <mergeCell ref="B75:B76"/>
    <mergeCell ref="C75:C76"/>
    <mergeCell ref="D75:D76"/>
    <mergeCell ref="E75:H75"/>
    <mergeCell ref="A66:A67"/>
    <mergeCell ref="B66:B67"/>
    <mergeCell ref="C66:N66"/>
    <mergeCell ref="A69:N69"/>
    <mergeCell ref="A70:A71"/>
    <mergeCell ref="B70:B71"/>
    <mergeCell ref="C70:N70"/>
    <mergeCell ref="A63:N63"/>
    <mergeCell ref="A64:N64"/>
    <mergeCell ref="A65:N65"/>
    <mergeCell ref="A54:N54"/>
    <mergeCell ref="A55:A56"/>
    <mergeCell ref="B55:B56"/>
    <mergeCell ref="C55:C56"/>
    <mergeCell ref="D55:D56"/>
    <mergeCell ref="E55:H55"/>
    <mergeCell ref="A49:N49"/>
    <mergeCell ref="A50:A51"/>
    <mergeCell ref="B50:B51"/>
    <mergeCell ref="C50:N50"/>
    <mergeCell ref="A53:N53"/>
    <mergeCell ref="A43:N43"/>
    <mergeCell ref="A44:N44"/>
    <mergeCell ref="A45:N45"/>
    <mergeCell ref="A46:A47"/>
    <mergeCell ref="B46:B47"/>
    <mergeCell ref="C46:N46"/>
    <mergeCell ref="A1:N1"/>
    <mergeCell ref="A2:N2"/>
    <mergeCell ref="A3:N3"/>
    <mergeCell ref="A4:N4"/>
    <mergeCell ref="A5:A6"/>
    <mergeCell ref="B5:B6"/>
    <mergeCell ref="C5:N5"/>
    <mergeCell ref="G21:J21"/>
    <mergeCell ref="A22:N22"/>
    <mergeCell ref="A23:N23"/>
    <mergeCell ref="A24:N24"/>
    <mergeCell ref="A12:N12"/>
    <mergeCell ref="A13:N13"/>
    <mergeCell ref="A14:A15"/>
    <mergeCell ref="B14:B15"/>
    <mergeCell ref="C14:C15"/>
    <mergeCell ref="D14:D15"/>
    <mergeCell ref="E14:H14"/>
    <mergeCell ref="A35:A36"/>
    <mergeCell ref="B35:B36"/>
    <mergeCell ref="C35:C36"/>
    <mergeCell ref="D35:D36"/>
    <mergeCell ref="E35:H35"/>
    <mergeCell ref="A33:N33"/>
    <mergeCell ref="A34:N34"/>
    <mergeCell ref="A30:A31"/>
    <mergeCell ref="B30:B31"/>
    <mergeCell ref="C30:N30"/>
    <mergeCell ref="C42:F42"/>
    <mergeCell ref="G42:J42"/>
    <mergeCell ref="A38:N38"/>
    <mergeCell ref="A39:N39"/>
    <mergeCell ref="A40:A41"/>
    <mergeCell ref="B40:B41"/>
    <mergeCell ref="C40:F41"/>
    <mergeCell ref="G40:J41"/>
    <mergeCell ref="A8:N8"/>
    <mergeCell ref="A9:A10"/>
    <mergeCell ref="B9:B10"/>
    <mergeCell ref="C9:N9"/>
    <mergeCell ref="A29:N29"/>
    <mergeCell ref="A26:A27"/>
    <mergeCell ref="B26:B27"/>
    <mergeCell ref="C26:N26"/>
    <mergeCell ref="A25:N25"/>
    <mergeCell ref="A17:N17"/>
    <mergeCell ref="A18:N18"/>
    <mergeCell ref="A19:A20"/>
    <mergeCell ref="B19:B20"/>
    <mergeCell ref="C19:F20"/>
    <mergeCell ref="G19:J20"/>
    <mergeCell ref="C21:F21"/>
    <mergeCell ref="A103:N103"/>
    <mergeCell ref="A104:N104"/>
    <mergeCell ref="A105:N105"/>
    <mergeCell ref="A106:A107"/>
    <mergeCell ref="B106:B107"/>
    <mergeCell ref="C106:N106"/>
    <mergeCell ref="A109:N109"/>
    <mergeCell ref="A110:A111"/>
    <mergeCell ref="B110:B111"/>
    <mergeCell ref="C110:N110"/>
    <mergeCell ref="C122:F122"/>
    <mergeCell ref="G122:J122"/>
    <mergeCell ref="A113:N113"/>
    <mergeCell ref="A114:N114"/>
    <mergeCell ref="A115:A116"/>
    <mergeCell ref="B115:B116"/>
    <mergeCell ref="C115:C116"/>
    <mergeCell ref="D115:D116"/>
    <mergeCell ref="E115:H115"/>
    <mergeCell ref="A119:N119"/>
    <mergeCell ref="A120:A121"/>
    <mergeCell ref="B120:B121"/>
    <mergeCell ref="C120:F121"/>
    <mergeCell ref="G120:J1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/>
  <dimension ref="A1:AA542"/>
  <sheetViews>
    <sheetView topLeftCell="A418" zoomScale="85" zoomScaleNormal="85" workbookViewId="0">
      <selection activeCell="U414" sqref="U414"/>
    </sheetView>
  </sheetViews>
  <sheetFormatPr defaultRowHeight="15" x14ac:dyDescent="0.25"/>
  <cols>
    <col min="1" max="1" width="18.28515625" customWidth="1"/>
    <col min="2" max="2" width="27.140625" customWidth="1"/>
    <col min="3" max="14" width="9.7109375" customWidth="1"/>
    <col min="15" max="15" width="9.140625" customWidth="1"/>
  </cols>
  <sheetData>
    <row r="1" spans="1:14" ht="15.75" thickTop="1" x14ac:dyDescent="0.25">
      <c r="A1" s="217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9"/>
    </row>
    <row r="2" spans="1:14" ht="18.75" x14ac:dyDescent="0.25">
      <c r="A2" s="212" t="s">
        <v>467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213"/>
    </row>
    <row r="3" spans="1:14" x14ac:dyDescent="0.25">
      <c r="A3" s="215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216"/>
    </row>
    <row r="4" spans="1:14" ht="18.75" x14ac:dyDescent="0.25">
      <c r="A4" s="209" t="s">
        <v>291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210"/>
    </row>
    <row r="5" spans="1:14" x14ac:dyDescent="0.25">
      <c r="A5" s="211" t="s">
        <v>292</v>
      </c>
      <c r="B5" s="150" t="s">
        <v>293</v>
      </c>
      <c r="C5" s="157" t="s">
        <v>294</v>
      </c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214"/>
    </row>
    <row r="6" spans="1:14" x14ac:dyDescent="0.25">
      <c r="A6" s="211"/>
      <c r="B6" s="150"/>
      <c r="C6" s="30" t="s">
        <v>295</v>
      </c>
      <c r="D6" s="30" t="s">
        <v>296</v>
      </c>
      <c r="E6" s="30" t="s">
        <v>297</v>
      </c>
      <c r="F6" s="30" t="s">
        <v>298</v>
      </c>
      <c r="G6" s="30" t="s">
        <v>299</v>
      </c>
      <c r="H6" s="30" t="s">
        <v>300</v>
      </c>
      <c r="I6" s="30" t="s">
        <v>301</v>
      </c>
      <c r="J6" s="30" t="s">
        <v>302</v>
      </c>
      <c r="K6" s="30" t="s">
        <v>303</v>
      </c>
      <c r="L6" s="30" t="s">
        <v>304</v>
      </c>
      <c r="M6" s="30" t="s">
        <v>305</v>
      </c>
      <c r="N6" s="59" t="s">
        <v>306</v>
      </c>
    </row>
    <row r="7" spans="1:14" x14ac:dyDescent="0.25">
      <c r="A7" s="60">
        <v>270</v>
      </c>
      <c r="B7" s="5" t="s">
        <v>98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1"/>
    </row>
    <row r="8" spans="1:14" x14ac:dyDescent="0.25">
      <c r="A8" s="215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216"/>
    </row>
    <row r="9" spans="1:14" x14ac:dyDescent="0.25">
      <c r="A9" s="211" t="s">
        <v>292</v>
      </c>
      <c r="B9" s="150" t="s">
        <v>293</v>
      </c>
      <c r="C9" s="157" t="s">
        <v>308</v>
      </c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214"/>
    </row>
    <row r="10" spans="1:14" x14ac:dyDescent="0.25">
      <c r="A10" s="211"/>
      <c r="B10" s="150"/>
      <c r="C10" s="30" t="s">
        <v>295</v>
      </c>
      <c r="D10" s="30" t="s">
        <v>296</v>
      </c>
      <c r="E10" s="30" t="s">
        <v>297</v>
      </c>
      <c r="F10" s="30" t="s">
        <v>298</v>
      </c>
      <c r="G10" s="30" t="s">
        <v>299</v>
      </c>
      <c r="H10" s="30" t="s">
        <v>300</v>
      </c>
      <c r="I10" s="30" t="s">
        <v>301</v>
      </c>
      <c r="J10" s="30" t="s">
        <v>302</v>
      </c>
      <c r="K10" s="30" t="s">
        <v>303</v>
      </c>
      <c r="L10" s="30" t="s">
        <v>304</v>
      </c>
      <c r="M10" s="30" t="s">
        <v>305</v>
      </c>
      <c r="N10" s="59" t="s">
        <v>306</v>
      </c>
    </row>
    <row r="11" spans="1:14" x14ac:dyDescent="0.25">
      <c r="A11" s="60">
        <v>270</v>
      </c>
      <c r="B11" s="5" t="s">
        <v>98</v>
      </c>
      <c r="C11" s="29">
        <v>5.03</v>
      </c>
      <c r="D11" s="29">
        <v>5.25</v>
      </c>
      <c r="E11" s="29">
        <v>5.16</v>
      </c>
      <c r="F11" s="29">
        <v>5.37</v>
      </c>
      <c r="G11" s="29">
        <v>5.39</v>
      </c>
      <c r="H11" s="29">
        <v>5.57</v>
      </c>
      <c r="I11" s="29">
        <v>6.26</v>
      </c>
      <c r="J11" s="29">
        <v>7.52</v>
      </c>
      <c r="K11" s="29">
        <v>7.6</v>
      </c>
      <c r="L11" s="29">
        <v>6.52</v>
      </c>
      <c r="M11" s="29">
        <v>5.47</v>
      </c>
      <c r="N11" s="62">
        <v>5</v>
      </c>
    </row>
    <row r="12" spans="1:14" x14ac:dyDescent="0.25">
      <c r="A12" s="215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216"/>
    </row>
    <row r="13" spans="1:14" ht="18.75" x14ac:dyDescent="0.25">
      <c r="A13" s="209" t="s">
        <v>309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210"/>
    </row>
    <row r="14" spans="1:14" x14ac:dyDescent="0.25">
      <c r="A14" s="211" t="s">
        <v>292</v>
      </c>
      <c r="B14" s="150" t="s">
        <v>293</v>
      </c>
      <c r="C14" s="150" t="s">
        <v>1</v>
      </c>
      <c r="D14" s="150" t="s">
        <v>2</v>
      </c>
      <c r="E14" s="150" t="s">
        <v>310</v>
      </c>
      <c r="F14" s="150"/>
      <c r="G14" s="150"/>
      <c r="H14" s="150"/>
      <c r="I14" s="30"/>
      <c r="J14" s="30"/>
      <c r="K14" s="30"/>
      <c r="L14" s="30"/>
      <c r="M14" s="30"/>
      <c r="N14" s="59"/>
    </row>
    <row r="15" spans="1:14" x14ac:dyDescent="0.25">
      <c r="A15" s="211"/>
      <c r="B15" s="150"/>
      <c r="C15" s="150"/>
      <c r="D15" s="150"/>
      <c r="E15" s="30" t="s">
        <v>292</v>
      </c>
      <c r="F15" s="30" t="s">
        <v>293</v>
      </c>
      <c r="G15" s="30" t="s">
        <v>1</v>
      </c>
      <c r="H15" s="30" t="s">
        <v>2</v>
      </c>
      <c r="I15" s="30"/>
      <c r="J15" s="30"/>
      <c r="K15" s="30"/>
      <c r="L15" s="30"/>
      <c r="M15" s="30"/>
      <c r="N15" s="59"/>
    </row>
    <row r="16" spans="1:14" x14ac:dyDescent="0.25">
      <c r="A16" s="15" t="s">
        <v>97</v>
      </c>
      <c r="B16" s="5" t="s">
        <v>98</v>
      </c>
      <c r="C16" s="29">
        <v>-13.4</v>
      </c>
      <c r="D16" s="35">
        <v>-48.3</v>
      </c>
      <c r="E16" s="35"/>
      <c r="F16" s="26"/>
      <c r="G16" s="35"/>
      <c r="H16" s="35"/>
      <c r="I16" s="35"/>
      <c r="J16" s="35"/>
      <c r="K16" s="35"/>
      <c r="L16" s="35"/>
      <c r="M16" s="35"/>
      <c r="N16" s="64"/>
    </row>
    <row r="17" spans="1:17" x14ac:dyDescent="0.25">
      <c r="A17" s="215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216"/>
    </row>
    <row r="18" spans="1:17" ht="18.75" x14ac:dyDescent="0.25">
      <c r="A18" s="209" t="s">
        <v>311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210"/>
    </row>
    <row r="19" spans="1:17" x14ac:dyDescent="0.25">
      <c r="A19" s="211" t="s">
        <v>292</v>
      </c>
      <c r="B19" s="150" t="s">
        <v>293</v>
      </c>
      <c r="C19" s="151" t="s">
        <v>312</v>
      </c>
      <c r="D19" s="152"/>
      <c r="E19" s="152"/>
      <c r="F19" s="153"/>
      <c r="G19" s="151" t="s">
        <v>313</v>
      </c>
      <c r="H19" s="152"/>
      <c r="I19" s="152"/>
      <c r="J19" s="153"/>
      <c r="K19" s="30"/>
      <c r="L19" s="30"/>
      <c r="M19" s="30"/>
      <c r="N19" s="59"/>
    </row>
    <row r="20" spans="1:17" x14ac:dyDescent="0.25">
      <c r="A20" s="211"/>
      <c r="B20" s="150"/>
      <c r="C20" s="154"/>
      <c r="D20" s="155"/>
      <c r="E20" s="155"/>
      <c r="F20" s="156"/>
      <c r="G20" s="154"/>
      <c r="H20" s="155"/>
      <c r="I20" s="155"/>
      <c r="J20" s="156"/>
      <c r="K20" s="30"/>
      <c r="L20" s="30"/>
      <c r="M20" s="30"/>
      <c r="N20" s="59"/>
    </row>
    <row r="21" spans="1:17" ht="15.75" thickBot="1" x14ac:dyDescent="0.3">
      <c r="A21" s="65"/>
      <c r="B21" s="66"/>
      <c r="C21" s="206"/>
      <c r="D21" s="206"/>
      <c r="E21" s="206"/>
      <c r="F21" s="206"/>
      <c r="G21" s="206"/>
      <c r="H21" s="206"/>
      <c r="I21" s="206"/>
      <c r="J21" s="206"/>
      <c r="K21" s="67"/>
      <c r="L21" s="67"/>
      <c r="M21" s="67"/>
      <c r="N21" s="68"/>
    </row>
    <row r="22" spans="1:17" ht="16.5" thickTop="1" thickBot="1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</row>
    <row r="23" spans="1:17" ht="19.5" thickTop="1" x14ac:dyDescent="0.25">
      <c r="A23" s="178" t="s">
        <v>468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80"/>
    </row>
    <row r="24" spans="1:17" x14ac:dyDescent="0.25">
      <c r="A24" s="215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216"/>
    </row>
    <row r="25" spans="1:17" ht="18.75" x14ac:dyDescent="0.25">
      <c r="A25" s="209" t="s">
        <v>291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210"/>
    </row>
    <row r="26" spans="1:17" x14ac:dyDescent="0.25">
      <c r="A26" s="211" t="s">
        <v>292</v>
      </c>
      <c r="B26" s="150" t="s">
        <v>293</v>
      </c>
      <c r="C26" s="157" t="s">
        <v>294</v>
      </c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214"/>
    </row>
    <row r="27" spans="1:17" x14ac:dyDescent="0.25">
      <c r="A27" s="211"/>
      <c r="B27" s="150"/>
      <c r="C27" s="30" t="s">
        <v>295</v>
      </c>
      <c r="D27" s="30" t="s">
        <v>296</v>
      </c>
      <c r="E27" s="30" t="s">
        <v>297</v>
      </c>
      <c r="F27" s="30" t="s">
        <v>298</v>
      </c>
      <c r="G27" s="30" t="s">
        <v>299</v>
      </c>
      <c r="H27" s="30" t="s">
        <v>300</v>
      </c>
      <c r="I27" s="30" t="s">
        <v>301</v>
      </c>
      <c r="J27" s="30" t="s">
        <v>302</v>
      </c>
      <c r="K27" s="30" t="s">
        <v>303</v>
      </c>
      <c r="L27" s="30" t="s">
        <v>304</v>
      </c>
      <c r="M27" s="30" t="s">
        <v>305</v>
      </c>
      <c r="N27" s="59" t="s">
        <v>306</v>
      </c>
    </row>
    <row r="28" spans="1:17" s="1" customFormat="1" ht="15" customHeight="1" x14ac:dyDescent="0.25">
      <c r="A28" s="11">
        <v>191</v>
      </c>
      <c r="B28" s="5" t="s">
        <v>469</v>
      </c>
      <c r="C28" s="6">
        <v>5.6000000000000001E-2</v>
      </c>
      <c r="D28" s="6">
        <v>5.6000000000000001E-2</v>
      </c>
      <c r="E28" s="6">
        <v>5.6000000000000001E-2</v>
      </c>
      <c r="F28" s="6">
        <v>5.6000000000000001E-2</v>
      </c>
      <c r="G28" s="6">
        <v>5.6000000000000001E-2</v>
      </c>
      <c r="H28" s="6">
        <v>5.6000000000000001E-2</v>
      </c>
      <c r="I28" s="6">
        <v>5.6000000000000001E-2</v>
      </c>
      <c r="J28" s="6">
        <v>5.6000000000000001E-2</v>
      </c>
      <c r="K28" s="6">
        <v>5.6000000000000001E-2</v>
      </c>
      <c r="L28" s="6">
        <v>5.6000000000000001E-2</v>
      </c>
      <c r="M28" s="6">
        <v>5.6000000000000001E-2</v>
      </c>
      <c r="N28" s="12">
        <v>5.6000000000000001E-2</v>
      </c>
      <c r="P28"/>
      <c r="Q28"/>
    </row>
    <row r="29" spans="1:17" s="1" customFormat="1" ht="15" customHeight="1" x14ac:dyDescent="0.25">
      <c r="A29" s="13">
        <v>253</v>
      </c>
      <c r="B29" s="3" t="s">
        <v>470</v>
      </c>
      <c r="C29" s="7">
        <v>5.5E-2</v>
      </c>
      <c r="D29" s="7">
        <v>5.5E-2</v>
      </c>
      <c r="E29" s="7">
        <v>5.5E-2</v>
      </c>
      <c r="F29" s="7">
        <v>5.5E-2</v>
      </c>
      <c r="G29" s="7">
        <v>5.5E-2</v>
      </c>
      <c r="H29" s="7">
        <v>5.5E-2</v>
      </c>
      <c r="I29" s="7">
        <v>5.5E-2</v>
      </c>
      <c r="J29" s="7">
        <v>5.5E-2</v>
      </c>
      <c r="K29" s="7">
        <v>5.5E-2</v>
      </c>
      <c r="L29" s="7">
        <v>5.5E-2</v>
      </c>
      <c r="M29" s="7">
        <v>5.5E-2</v>
      </c>
      <c r="N29" s="14">
        <v>5.5E-2</v>
      </c>
      <c r="P29"/>
      <c r="Q29"/>
    </row>
    <row r="30" spans="1:17" s="1" customFormat="1" ht="15" customHeight="1" x14ac:dyDescent="0.25">
      <c r="A30" s="11">
        <v>257</v>
      </c>
      <c r="B30" s="5" t="s">
        <v>471</v>
      </c>
      <c r="C30" s="6">
        <v>0.434</v>
      </c>
      <c r="D30" s="6">
        <v>0.434</v>
      </c>
      <c r="E30" s="6">
        <v>0.434</v>
      </c>
      <c r="F30" s="6">
        <v>0.434</v>
      </c>
      <c r="G30" s="6">
        <v>0.434</v>
      </c>
      <c r="H30" s="6">
        <v>0.434</v>
      </c>
      <c r="I30" s="6">
        <v>0.434</v>
      </c>
      <c r="J30" s="6">
        <v>0.434</v>
      </c>
      <c r="K30" s="6">
        <v>0.434</v>
      </c>
      <c r="L30" s="6">
        <v>0.434</v>
      </c>
      <c r="M30" s="6">
        <v>0.434</v>
      </c>
      <c r="N30" s="12">
        <v>0.434</v>
      </c>
      <c r="P30"/>
      <c r="Q30"/>
    </row>
    <row r="31" spans="1:17" s="1" customFormat="1" x14ac:dyDescent="0.25">
      <c r="A31" s="13">
        <v>273</v>
      </c>
      <c r="B31" s="3" t="s">
        <v>136</v>
      </c>
      <c r="C31" s="7">
        <v>0.45500000000000002</v>
      </c>
      <c r="D31" s="7">
        <v>0.45500000000000002</v>
      </c>
      <c r="E31" s="7">
        <v>0.45500000000000002</v>
      </c>
      <c r="F31" s="7">
        <v>0.45500000000000002</v>
      </c>
      <c r="G31" s="7">
        <v>0.45500000000000002</v>
      </c>
      <c r="H31" s="7">
        <v>0.45500000000000002</v>
      </c>
      <c r="I31" s="7">
        <v>0.45500000000000002</v>
      </c>
      <c r="J31" s="7">
        <v>0.45500000000000002</v>
      </c>
      <c r="K31" s="7">
        <v>0.45500000000000002</v>
      </c>
      <c r="L31" s="7">
        <v>0.45500000000000002</v>
      </c>
      <c r="M31" s="7">
        <v>0.45500000000000002</v>
      </c>
      <c r="N31" s="14">
        <v>0.45500000000000002</v>
      </c>
      <c r="P31"/>
      <c r="Q31"/>
    </row>
    <row r="32" spans="1:17" x14ac:dyDescent="0.25">
      <c r="A32" s="215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216"/>
    </row>
    <row r="33" spans="1:14" x14ac:dyDescent="0.25">
      <c r="A33" s="211" t="s">
        <v>292</v>
      </c>
      <c r="B33" s="150" t="s">
        <v>293</v>
      </c>
      <c r="C33" s="157" t="s">
        <v>308</v>
      </c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214"/>
    </row>
    <row r="34" spans="1:14" x14ac:dyDescent="0.25">
      <c r="A34" s="211"/>
      <c r="B34" s="150"/>
      <c r="C34" s="30" t="s">
        <v>295</v>
      </c>
      <c r="D34" s="30" t="s">
        <v>296</v>
      </c>
      <c r="E34" s="30" t="s">
        <v>297</v>
      </c>
      <c r="F34" s="30" t="s">
        <v>298</v>
      </c>
      <c r="G34" s="30" t="s">
        <v>299</v>
      </c>
      <c r="H34" s="30" t="s">
        <v>300</v>
      </c>
      <c r="I34" s="30" t="s">
        <v>301</v>
      </c>
      <c r="J34" s="30" t="s">
        <v>302</v>
      </c>
      <c r="K34" s="30" t="s">
        <v>303</v>
      </c>
      <c r="L34" s="30" t="s">
        <v>304</v>
      </c>
      <c r="M34" s="30" t="s">
        <v>305</v>
      </c>
      <c r="N34" s="59" t="s">
        <v>306</v>
      </c>
    </row>
    <row r="35" spans="1:14" x14ac:dyDescent="0.25">
      <c r="A35" s="60">
        <v>273</v>
      </c>
      <c r="B35" s="5" t="s">
        <v>136</v>
      </c>
      <c r="C35" s="29">
        <v>4.97</v>
      </c>
      <c r="D35" s="29">
        <v>5</v>
      </c>
      <c r="E35" s="29">
        <v>4.9000000000000004</v>
      </c>
      <c r="F35" s="29">
        <v>5.0999999999999996</v>
      </c>
      <c r="G35" s="29">
        <v>5.32</v>
      </c>
      <c r="H35" s="29">
        <v>5.47</v>
      </c>
      <c r="I35" s="29">
        <v>6.13</v>
      </c>
      <c r="J35" s="29">
        <v>7.29</v>
      </c>
      <c r="K35" s="29">
        <v>7.1</v>
      </c>
      <c r="L35" s="29">
        <v>5.9</v>
      </c>
      <c r="M35" s="29">
        <v>5.4</v>
      </c>
      <c r="N35" s="62">
        <v>4.97</v>
      </c>
    </row>
    <row r="36" spans="1:14" x14ac:dyDescent="0.25">
      <c r="A36" s="215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216"/>
    </row>
    <row r="37" spans="1:14" ht="18.75" x14ac:dyDescent="0.25">
      <c r="A37" s="209" t="s">
        <v>309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210"/>
    </row>
    <row r="38" spans="1:14" x14ac:dyDescent="0.25">
      <c r="A38" s="211" t="s">
        <v>292</v>
      </c>
      <c r="B38" s="150" t="s">
        <v>293</v>
      </c>
      <c r="C38" s="150" t="s">
        <v>1</v>
      </c>
      <c r="D38" s="150" t="s">
        <v>2</v>
      </c>
      <c r="E38" s="150" t="s">
        <v>310</v>
      </c>
      <c r="F38" s="150"/>
      <c r="G38" s="150"/>
      <c r="H38" s="150"/>
      <c r="I38" s="30"/>
      <c r="J38" s="30"/>
      <c r="K38" s="30"/>
      <c r="L38" s="30"/>
      <c r="M38" s="30"/>
      <c r="N38" s="59"/>
    </row>
    <row r="39" spans="1:14" x14ac:dyDescent="0.25">
      <c r="A39" s="211"/>
      <c r="B39" s="150"/>
      <c r="C39" s="150"/>
      <c r="D39" s="150"/>
      <c r="E39" s="30" t="s">
        <v>292</v>
      </c>
      <c r="F39" s="30" t="s">
        <v>293</v>
      </c>
      <c r="G39" s="30" t="s">
        <v>1</v>
      </c>
      <c r="H39" s="30" t="s">
        <v>2</v>
      </c>
      <c r="I39" s="30"/>
      <c r="J39" s="30"/>
      <c r="K39" s="30"/>
      <c r="L39" s="30"/>
      <c r="M39" s="30"/>
      <c r="N39" s="59"/>
    </row>
    <row r="40" spans="1:14" x14ac:dyDescent="0.25">
      <c r="A40" s="15" t="s">
        <v>135</v>
      </c>
      <c r="B40" s="5" t="s">
        <v>136</v>
      </c>
      <c r="C40" s="29">
        <v>-9.76</v>
      </c>
      <c r="D40" s="35">
        <v>-48.37</v>
      </c>
      <c r="E40" s="35"/>
      <c r="F40" s="26"/>
      <c r="G40" s="35"/>
      <c r="H40" s="35"/>
      <c r="I40" s="35"/>
      <c r="J40" s="35"/>
      <c r="K40" s="35"/>
      <c r="L40" s="35"/>
      <c r="M40" s="35"/>
      <c r="N40" s="64"/>
    </row>
    <row r="41" spans="1:14" x14ac:dyDescent="0.25">
      <c r="A41" s="215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216"/>
    </row>
    <row r="42" spans="1:14" ht="18.75" x14ac:dyDescent="0.25">
      <c r="A42" s="209" t="s">
        <v>311</v>
      </c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210"/>
    </row>
    <row r="43" spans="1:14" x14ac:dyDescent="0.25">
      <c r="A43" s="211" t="s">
        <v>292</v>
      </c>
      <c r="B43" s="150" t="s">
        <v>293</v>
      </c>
      <c r="C43" s="151" t="s">
        <v>312</v>
      </c>
      <c r="D43" s="152"/>
      <c r="E43" s="152"/>
      <c r="F43" s="153"/>
      <c r="G43" s="151" t="s">
        <v>313</v>
      </c>
      <c r="H43" s="152"/>
      <c r="I43" s="152"/>
      <c r="J43" s="153"/>
      <c r="K43" s="30"/>
      <c r="L43" s="30"/>
      <c r="M43" s="30"/>
      <c r="N43" s="59"/>
    </row>
    <row r="44" spans="1:14" x14ac:dyDescent="0.25">
      <c r="A44" s="211"/>
      <c r="B44" s="150"/>
      <c r="C44" s="154"/>
      <c r="D44" s="155"/>
      <c r="E44" s="155"/>
      <c r="F44" s="156"/>
      <c r="G44" s="154"/>
      <c r="H44" s="155"/>
      <c r="I44" s="155"/>
      <c r="J44" s="156"/>
      <c r="K44" s="30"/>
      <c r="L44" s="30"/>
      <c r="M44" s="30"/>
      <c r="N44" s="59"/>
    </row>
    <row r="45" spans="1:14" ht="15.75" thickBot="1" x14ac:dyDescent="0.3">
      <c r="A45" s="65"/>
      <c r="B45" s="66"/>
      <c r="C45" s="206"/>
      <c r="D45" s="206"/>
      <c r="E45" s="206"/>
      <c r="F45" s="206"/>
      <c r="G45" s="206"/>
      <c r="H45" s="206"/>
      <c r="I45" s="206"/>
      <c r="J45" s="206"/>
      <c r="K45" s="67"/>
      <c r="L45" s="67"/>
      <c r="M45" s="67"/>
      <c r="N45" s="68"/>
    </row>
    <row r="46" spans="1:14" ht="16.5" thickTop="1" thickBot="1" x14ac:dyDescent="0.3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</row>
    <row r="47" spans="1:14" ht="19.5" thickTop="1" x14ac:dyDescent="0.25">
      <c r="A47" s="178" t="s">
        <v>472</v>
      </c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80"/>
    </row>
    <row r="48" spans="1:14" x14ac:dyDescent="0.25">
      <c r="A48" s="215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216"/>
    </row>
    <row r="49" spans="1:27" ht="18.75" x14ac:dyDescent="0.25">
      <c r="A49" s="209" t="s">
        <v>291</v>
      </c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210"/>
    </row>
    <row r="50" spans="1:27" x14ac:dyDescent="0.25">
      <c r="A50" s="211" t="s">
        <v>292</v>
      </c>
      <c r="B50" s="150" t="s">
        <v>293</v>
      </c>
      <c r="C50" s="157" t="s">
        <v>294</v>
      </c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214"/>
    </row>
    <row r="51" spans="1:27" x14ac:dyDescent="0.25">
      <c r="A51" s="211"/>
      <c r="B51" s="150"/>
      <c r="C51" s="30" t="s">
        <v>295</v>
      </c>
      <c r="D51" s="30" t="s">
        <v>296</v>
      </c>
      <c r="E51" s="30" t="s">
        <v>297</v>
      </c>
      <c r="F51" s="30" t="s">
        <v>298</v>
      </c>
      <c r="G51" s="30" t="s">
        <v>299</v>
      </c>
      <c r="H51" s="30" t="s">
        <v>300</v>
      </c>
      <c r="I51" s="30" t="s">
        <v>301</v>
      </c>
      <c r="J51" s="30" t="s">
        <v>302</v>
      </c>
      <c r="K51" s="30" t="s">
        <v>303</v>
      </c>
      <c r="L51" s="30" t="s">
        <v>304</v>
      </c>
      <c r="M51" s="30" t="s">
        <v>305</v>
      </c>
      <c r="N51" s="59" t="s">
        <v>306</v>
      </c>
      <c r="P51" s="109"/>
    </row>
    <row r="52" spans="1:27" x14ac:dyDescent="0.25">
      <c r="A52" s="60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1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spans="1:27" x14ac:dyDescent="0.25">
      <c r="A53" s="215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216"/>
      <c r="P53" s="109"/>
    </row>
    <row r="54" spans="1:27" x14ac:dyDescent="0.25">
      <c r="A54" s="211" t="s">
        <v>292</v>
      </c>
      <c r="B54" s="150" t="s">
        <v>293</v>
      </c>
      <c r="C54" s="157" t="s">
        <v>308</v>
      </c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214"/>
    </row>
    <row r="55" spans="1:27" x14ac:dyDescent="0.25">
      <c r="A55" s="211"/>
      <c r="B55" s="150"/>
      <c r="C55" s="30" t="s">
        <v>295</v>
      </c>
      <c r="D55" s="30" t="s">
        <v>296</v>
      </c>
      <c r="E55" s="30" t="s">
        <v>297</v>
      </c>
      <c r="F55" s="30" t="s">
        <v>298</v>
      </c>
      <c r="G55" s="30" t="s">
        <v>299</v>
      </c>
      <c r="H55" s="30" t="s">
        <v>300</v>
      </c>
      <c r="I55" s="30" t="s">
        <v>301</v>
      </c>
      <c r="J55" s="30" t="s">
        <v>302</v>
      </c>
      <c r="K55" s="30" t="s">
        <v>303</v>
      </c>
      <c r="L55" s="30" t="s">
        <v>304</v>
      </c>
      <c r="M55" s="30" t="s">
        <v>305</v>
      </c>
      <c r="N55" s="59" t="s">
        <v>306</v>
      </c>
    </row>
    <row r="56" spans="1:27" x14ac:dyDescent="0.25">
      <c r="A56" s="35">
        <v>22910000</v>
      </c>
      <c r="B56" s="5" t="s">
        <v>473</v>
      </c>
      <c r="C56" s="29">
        <v>4.97</v>
      </c>
      <c r="D56" s="29">
        <v>5</v>
      </c>
      <c r="E56" s="29">
        <v>4.9000000000000004</v>
      </c>
      <c r="F56" s="29">
        <v>5.0999999999999996</v>
      </c>
      <c r="G56" s="29">
        <v>5.32</v>
      </c>
      <c r="H56" s="29">
        <v>5.47</v>
      </c>
      <c r="I56" s="29">
        <v>6.13</v>
      </c>
      <c r="J56" s="29">
        <v>7.29</v>
      </c>
      <c r="K56" s="29">
        <v>7.1</v>
      </c>
      <c r="L56" s="29">
        <v>5.9</v>
      </c>
      <c r="M56" s="29">
        <v>5.4</v>
      </c>
      <c r="N56" s="62">
        <v>4.97</v>
      </c>
    </row>
    <row r="57" spans="1:27" x14ac:dyDescent="0.25">
      <c r="A57" s="215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216"/>
    </row>
    <row r="58" spans="1:27" ht="18.75" x14ac:dyDescent="0.25">
      <c r="A58" s="209" t="s">
        <v>309</v>
      </c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210"/>
    </row>
    <row r="59" spans="1:27" x14ac:dyDescent="0.25">
      <c r="A59" s="211" t="s">
        <v>292</v>
      </c>
      <c r="B59" s="150" t="s">
        <v>293</v>
      </c>
      <c r="C59" s="150" t="s">
        <v>1</v>
      </c>
      <c r="D59" s="150" t="s">
        <v>2</v>
      </c>
      <c r="E59" s="150" t="s">
        <v>310</v>
      </c>
      <c r="F59" s="150"/>
      <c r="G59" s="150"/>
      <c r="H59" s="150"/>
      <c r="I59" s="30"/>
      <c r="J59" s="30"/>
      <c r="K59" s="30"/>
      <c r="L59" s="30"/>
      <c r="M59" s="30"/>
      <c r="N59" s="59"/>
    </row>
    <row r="60" spans="1:27" x14ac:dyDescent="0.25">
      <c r="A60" s="211"/>
      <c r="B60" s="150"/>
      <c r="C60" s="150"/>
      <c r="D60" s="150"/>
      <c r="E60" s="30" t="s">
        <v>292</v>
      </c>
      <c r="F60" s="30" t="s">
        <v>293</v>
      </c>
      <c r="G60" s="30" t="s">
        <v>1</v>
      </c>
      <c r="H60" s="30" t="s">
        <v>2</v>
      </c>
      <c r="I60" s="30"/>
      <c r="J60" s="30"/>
      <c r="K60" s="30"/>
      <c r="L60" s="30"/>
      <c r="M60" s="30"/>
      <c r="N60" s="59"/>
    </row>
    <row r="61" spans="1:27" x14ac:dyDescent="0.25">
      <c r="A61" s="15" t="s">
        <v>137</v>
      </c>
      <c r="B61" s="5" t="s">
        <v>138</v>
      </c>
      <c r="C61" s="29">
        <v>-9.31</v>
      </c>
      <c r="D61" s="35">
        <v>-47.39</v>
      </c>
      <c r="E61" s="35"/>
      <c r="F61" s="26"/>
      <c r="G61" s="35"/>
      <c r="H61" s="35"/>
      <c r="I61" s="35"/>
      <c r="J61" s="35"/>
      <c r="K61" s="35"/>
      <c r="L61" s="35"/>
      <c r="M61" s="35"/>
      <c r="N61" s="64"/>
    </row>
    <row r="62" spans="1:27" x14ac:dyDescent="0.25">
      <c r="A62" s="215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216"/>
    </row>
    <row r="63" spans="1:27" ht="18.75" x14ac:dyDescent="0.25">
      <c r="A63" s="209" t="s">
        <v>311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210"/>
    </row>
    <row r="64" spans="1:27" x14ac:dyDescent="0.25">
      <c r="A64" s="211" t="s">
        <v>292</v>
      </c>
      <c r="B64" s="150" t="s">
        <v>293</v>
      </c>
      <c r="C64" s="151" t="s">
        <v>312</v>
      </c>
      <c r="D64" s="152"/>
      <c r="E64" s="152"/>
      <c r="F64" s="153"/>
      <c r="G64" s="151" t="s">
        <v>313</v>
      </c>
      <c r="H64" s="152"/>
      <c r="I64" s="152"/>
      <c r="J64" s="153"/>
      <c r="K64" s="30"/>
      <c r="L64" s="30"/>
      <c r="M64" s="30"/>
      <c r="N64" s="59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spans="1:14" x14ac:dyDescent="0.25">
      <c r="A65" s="211"/>
      <c r="B65" s="150"/>
      <c r="C65" s="154"/>
      <c r="D65" s="155"/>
      <c r="E65" s="155"/>
      <c r="F65" s="156"/>
      <c r="G65" s="154"/>
      <c r="H65" s="155"/>
      <c r="I65" s="155"/>
      <c r="J65" s="156"/>
      <c r="K65" s="30"/>
      <c r="L65" s="30"/>
      <c r="M65" s="30"/>
      <c r="N65" s="59"/>
    </row>
    <row r="66" spans="1:14" ht="15.75" thickBot="1" x14ac:dyDescent="0.3">
      <c r="A66" s="65"/>
      <c r="B66" s="66"/>
      <c r="C66" s="206"/>
      <c r="D66" s="206"/>
      <c r="E66" s="206"/>
      <c r="F66" s="206"/>
      <c r="G66" s="206"/>
      <c r="H66" s="206"/>
      <c r="I66" s="206"/>
      <c r="J66" s="206"/>
      <c r="K66" s="67"/>
      <c r="L66" s="67"/>
      <c r="M66" s="67"/>
      <c r="N66" s="68"/>
    </row>
    <row r="67" spans="1:14" ht="16.5" thickTop="1" thickBot="1" x14ac:dyDescent="0.3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</row>
    <row r="68" spans="1:14" ht="19.5" thickTop="1" x14ac:dyDescent="0.25">
      <c r="A68" s="178" t="s">
        <v>474</v>
      </c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80"/>
    </row>
    <row r="69" spans="1:14" x14ac:dyDescent="0.25">
      <c r="A69" s="215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216"/>
    </row>
    <row r="70" spans="1:14" ht="18.75" x14ac:dyDescent="0.25">
      <c r="A70" s="209" t="s">
        <v>291</v>
      </c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210"/>
    </row>
    <row r="71" spans="1:14" x14ac:dyDescent="0.25">
      <c r="A71" s="211" t="s">
        <v>292</v>
      </c>
      <c r="B71" s="150" t="s">
        <v>293</v>
      </c>
      <c r="C71" s="157" t="s">
        <v>294</v>
      </c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214"/>
    </row>
    <row r="72" spans="1:14" x14ac:dyDescent="0.25">
      <c r="A72" s="211"/>
      <c r="B72" s="150"/>
      <c r="C72" s="30" t="s">
        <v>295</v>
      </c>
      <c r="D72" s="30" t="s">
        <v>296</v>
      </c>
      <c r="E72" s="30" t="s">
        <v>297</v>
      </c>
      <c r="F72" s="30" t="s">
        <v>298</v>
      </c>
      <c r="G72" s="30" t="s">
        <v>299</v>
      </c>
      <c r="H72" s="30" t="s">
        <v>300</v>
      </c>
      <c r="I72" s="30" t="s">
        <v>301</v>
      </c>
      <c r="J72" s="30" t="s">
        <v>302</v>
      </c>
      <c r="K72" s="30" t="s">
        <v>303</v>
      </c>
      <c r="L72" s="30" t="s">
        <v>304</v>
      </c>
      <c r="M72" s="30" t="s">
        <v>305</v>
      </c>
      <c r="N72" s="59" t="s">
        <v>306</v>
      </c>
    </row>
    <row r="73" spans="1:14" x14ac:dyDescent="0.25">
      <c r="A73" s="60">
        <v>271</v>
      </c>
      <c r="B73" s="5" t="s">
        <v>475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1"/>
    </row>
    <row r="74" spans="1:14" x14ac:dyDescent="0.25">
      <c r="A74" s="215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216"/>
    </row>
    <row r="75" spans="1:14" x14ac:dyDescent="0.25">
      <c r="A75" s="211" t="s">
        <v>292</v>
      </c>
      <c r="B75" s="150" t="s">
        <v>293</v>
      </c>
      <c r="C75" s="157" t="s">
        <v>308</v>
      </c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214"/>
    </row>
    <row r="76" spans="1:14" x14ac:dyDescent="0.25">
      <c r="A76" s="211"/>
      <c r="B76" s="150"/>
      <c r="C76" s="30" t="s">
        <v>295</v>
      </c>
      <c r="D76" s="30" t="s">
        <v>296</v>
      </c>
      <c r="E76" s="30" t="s">
        <v>297</v>
      </c>
      <c r="F76" s="30" t="s">
        <v>298</v>
      </c>
      <c r="G76" s="30" t="s">
        <v>299</v>
      </c>
      <c r="H76" s="30" t="s">
        <v>300</v>
      </c>
      <c r="I76" s="30" t="s">
        <v>301</v>
      </c>
      <c r="J76" s="30" t="s">
        <v>302</v>
      </c>
      <c r="K76" s="30" t="s">
        <v>303</v>
      </c>
      <c r="L76" s="30" t="s">
        <v>304</v>
      </c>
      <c r="M76" s="30" t="s">
        <v>305</v>
      </c>
      <c r="N76" s="59" t="s">
        <v>306</v>
      </c>
    </row>
    <row r="77" spans="1:14" x14ac:dyDescent="0.25">
      <c r="A77" s="60">
        <v>271</v>
      </c>
      <c r="B77" s="5" t="s">
        <v>475</v>
      </c>
      <c r="C77" s="29">
        <v>5.03</v>
      </c>
      <c r="D77" s="29">
        <v>5.29</v>
      </c>
      <c r="E77" s="29">
        <v>5.13</v>
      </c>
      <c r="F77" s="29">
        <v>5</v>
      </c>
      <c r="G77" s="29">
        <v>4.74</v>
      </c>
      <c r="H77" s="29">
        <v>4.5999999999999996</v>
      </c>
      <c r="I77" s="29">
        <v>5.03</v>
      </c>
      <c r="J77" s="29">
        <v>5.9</v>
      </c>
      <c r="K77" s="29">
        <v>5.9</v>
      </c>
      <c r="L77" s="29">
        <v>5.55</v>
      </c>
      <c r="M77" s="29">
        <v>5.17</v>
      </c>
      <c r="N77" s="62">
        <v>4.7699999999999996</v>
      </c>
    </row>
    <row r="78" spans="1:14" x14ac:dyDescent="0.25">
      <c r="A78" s="215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216"/>
    </row>
    <row r="79" spans="1:14" ht="18.75" x14ac:dyDescent="0.25">
      <c r="A79" s="209" t="s">
        <v>309</v>
      </c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210"/>
    </row>
    <row r="80" spans="1:14" x14ac:dyDescent="0.25">
      <c r="A80" s="211" t="s">
        <v>292</v>
      </c>
      <c r="B80" s="150" t="s">
        <v>293</v>
      </c>
      <c r="C80" s="150" t="s">
        <v>1</v>
      </c>
      <c r="D80" s="150" t="s">
        <v>2</v>
      </c>
      <c r="E80" s="150" t="s">
        <v>310</v>
      </c>
      <c r="F80" s="150"/>
      <c r="G80" s="150"/>
      <c r="H80" s="150"/>
      <c r="I80" s="30"/>
      <c r="J80" s="30"/>
      <c r="K80" s="30"/>
      <c r="L80" s="30"/>
      <c r="M80" s="30"/>
      <c r="N80" s="59"/>
    </row>
    <row r="81" spans="1:17" x14ac:dyDescent="0.25">
      <c r="A81" s="211"/>
      <c r="B81" s="150"/>
      <c r="C81" s="150"/>
      <c r="D81" s="150"/>
      <c r="E81" s="30" t="s">
        <v>292</v>
      </c>
      <c r="F81" s="30" t="s">
        <v>293</v>
      </c>
      <c r="G81" s="30" t="s">
        <v>1</v>
      </c>
      <c r="H81" s="30" t="s">
        <v>2</v>
      </c>
      <c r="I81" s="30"/>
      <c r="J81" s="30"/>
      <c r="K81" s="30"/>
      <c r="L81" s="30"/>
      <c r="M81" s="30"/>
      <c r="N81" s="59"/>
    </row>
    <row r="82" spans="1:17" x14ac:dyDescent="0.25">
      <c r="A82" s="15" t="s">
        <v>139</v>
      </c>
      <c r="B82" s="5" t="s">
        <v>140</v>
      </c>
      <c r="C82" s="29">
        <v>-7.33</v>
      </c>
      <c r="D82" s="35">
        <v>-47.48</v>
      </c>
      <c r="E82" s="35"/>
      <c r="F82" s="26"/>
      <c r="G82" s="35"/>
      <c r="H82" s="35"/>
      <c r="I82" s="35"/>
      <c r="J82" s="35"/>
      <c r="K82" s="35"/>
      <c r="L82" s="35"/>
      <c r="M82" s="35"/>
      <c r="N82" s="64"/>
    </row>
    <row r="83" spans="1:17" x14ac:dyDescent="0.25">
      <c r="A83" s="215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216"/>
    </row>
    <row r="84" spans="1:17" ht="18.75" x14ac:dyDescent="0.25">
      <c r="A84" s="209" t="s">
        <v>311</v>
      </c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210"/>
    </row>
    <row r="85" spans="1:17" x14ac:dyDescent="0.25">
      <c r="A85" s="211" t="s">
        <v>292</v>
      </c>
      <c r="B85" s="150" t="s">
        <v>293</v>
      </c>
      <c r="C85" s="225" t="s">
        <v>312</v>
      </c>
      <c r="D85" s="226"/>
      <c r="E85" s="225" t="s">
        <v>569</v>
      </c>
      <c r="F85" s="226"/>
      <c r="G85" s="225" t="s">
        <v>570</v>
      </c>
      <c r="H85" s="226"/>
      <c r="I85" s="225" t="s">
        <v>313</v>
      </c>
      <c r="J85" s="226"/>
      <c r="K85" s="157" t="s">
        <v>568</v>
      </c>
      <c r="L85" s="158"/>
      <c r="M85" s="158"/>
      <c r="N85" s="176"/>
      <c r="Q85" s="109"/>
    </row>
    <row r="86" spans="1:17" x14ac:dyDescent="0.25">
      <c r="A86" s="211"/>
      <c r="B86" s="150"/>
      <c r="C86" s="227"/>
      <c r="D86" s="228"/>
      <c r="E86" s="227"/>
      <c r="F86" s="228"/>
      <c r="G86" s="227"/>
      <c r="H86" s="228"/>
      <c r="I86" s="227"/>
      <c r="J86" s="228"/>
      <c r="K86" s="30" t="s">
        <v>564</v>
      </c>
      <c r="L86" s="30" t="s">
        <v>565</v>
      </c>
      <c r="M86" s="30" t="s">
        <v>566</v>
      </c>
      <c r="N86" s="42" t="s">
        <v>567</v>
      </c>
    </row>
    <row r="87" spans="1:17" ht="15.75" thickBot="1" x14ac:dyDescent="0.3">
      <c r="A87" s="65">
        <v>22910000</v>
      </c>
      <c r="B87" s="66" t="s">
        <v>138</v>
      </c>
      <c r="C87" s="237" t="s">
        <v>475</v>
      </c>
      <c r="D87" s="237"/>
      <c r="E87" s="237" t="s">
        <v>571</v>
      </c>
      <c r="F87" s="237"/>
      <c r="G87" s="237" t="str">
        <f>C87</f>
        <v>Estreito</v>
      </c>
      <c r="H87" s="237"/>
      <c r="I87" s="206">
        <v>46</v>
      </c>
      <c r="J87" s="206"/>
      <c r="K87" s="134">
        <v>1.78002870883993</v>
      </c>
      <c r="L87" s="134">
        <v>0.252954025268814</v>
      </c>
      <c r="M87" s="67">
        <v>2</v>
      </c>
      <c r="N87" s="68">
        <v>1</v>
      </c>
    </row>
    <row r="88" spans="1:17" ht="16.5" thickTop="1" thickBot="1" x14ac:dyDescent="0.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</row>
    <row r="89" spans="1:17" ht="19.5" thickTop="1" x14ac:dyDescent="0.25">
      <c r="A89" s="178" t="s">
        <v>476</v>
      </c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80"/>
    </row>
    <row r="90" spans="1:17" x14ac:dyDescent="0.25">
      <c r="A90" s="215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216"/>
    </row>
    <row r="91" spans="1:17" ht="18.75" x14ac:dyDescent="0.25">
      <c r="A91" s="209" t="s">
        <v>291</v>
      </c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210"/>
    </row>
    <row r="92" spans="1:17" x14ac:dyDescent="0.25">
      <c r="A92" s="211" t="s">
        <v>292</v>
      </c>
      <c r="B92" s="150" t="s">
        <v>293</v>
      </c>
      <c r="C92" s="157" t="s">
        <v>294</v>
      </c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214"/>
    </row>
    <row r="93" spans="1:17" x14ac:dyDescent="0.25">
      <c r="A93" s="211"/>
      <c r="B93" s="150"/>
      <c r="C93" s="30" t="s">
        <v>295</v>
      </c>
      <c r="D93" s="30" t="s">
        <v>296</v>
      </c>
      <c r="E93" s="30" t="s">
        <v>297</v>
      </c>
      <c r="F93" s="30" t="s">
        <v>298</v>
      </c>
      <c r="G93" s="30" t="s">
        <v>299</v>
      </c>
      <c r="H93" s="30" t="s">
        <v>300</v>
      </c>
      <c r="I93" s="30" t="s">
        <v>301</v>
      </c>
      <c r="J93" s="30" t="s">
        <v>302</v>
      </c>
      <c r="K93" s="30" t="s">
        <v>303</v>
      </c>
      <c r="L93" s="30" t="s">
        <v>304</v>
      </c>
      <c r="M93" s="30" t="s">
        <v>305</v>
      </c>
      <c r="N93" s="59" t="s">
        <v>306</v>
      </c>
      <c r="P93" s="109"/>
    </row>
    <row r="94" spans="1:17" x14ac:dyDescent="0.25">
      <c r="A94" s="60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1"/>
    </row>
    <row r="95" spans="1:17" x14ac:dyDescent="0.25">
      <c r="A95" s="215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216"/>
    </row>
    <row r="96" spans="1:17" x14ac:dyDescent="0.25">
      <c r="A96" s="211" t="s">
        <v>292</v>
      </c>
      <c r="B96" s="150" t="s">
        <v>293</v>
      </c>
      <c r="C96" s="157" t="s">
        <v>308</v>
      </c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214"/>
    </row>
    <row r="97" spans="1:14" x14ac:dyDescent="0.25">
      <c r="A97" s="211"/>
      <c r="B97" s="150"/>
      <c r="C97" s="30" t="s">
        <v>295</v>
      </c>
      <c r="D97" s="30" t="s">
        <v>296</v>
      </c>
      <c r="E97" s="30" t="s">
        <v>297</v>
      </c>
      <c r="F97" s="30" t="s">
        <v>298</v>
      </c>
      <c r="G97" s="30" t="s">
        <v>299</v>
      </c>
      <c r="H97" s="30" t="s">
        <v>300</v>
      </c>
      <c r="I97" s="30" t="s">
        <v>301</v>
      </c>
      <c r="J97" s="30" t="s">
        <v>302</v>
      </c>
      <c r="K97" s="30" t="s">
        <v>303</v>
      </c>
      <c r="L97" s="30" t="s">
        <v>304</v>
      </c>
      <c r="M97" s="30" t="s">
        <v>305</v>
      </c>
      <c r="N97" s="59" t="s">
        <v>306</v>
      </c>
    </row>
    <row r="98" spans="1:14" x14ac:dyDescent="0.25">
      <c r="A98" s="60">
        <v>25700000</v>
      </c>
      <c r="B98" s="5" t="s">
        <v>132</v>
      </c>
      <c r="C98" s="29">
        <v>5</v>
      </c>
      <c r="D98" s="29">
        <v>5.21</v>
      </c>
      <c r="E98" s="29">
        <v>4.9400000000000004</v>
      </c>
      <c r="F98" s="29">
        <v>5</v>
      </c>
      <c r="G98" s="29">
        <v>4.8099999999999996</v>
      </c>
      <c r="H98" s="29">
        <v>4.83</v>
      </c>
      <c r="I98" s="29">
        <v>5.61</v>
      </c>
      <c r="J98" s="29">
        <v>6.81</v>
      </c>
      <c r="K98" s="29">
        <v>6.57</v>
      </c>
      <c r="L98" s="29">
        <v>6.23</v>
      </c>
      <c r="M98" s="29">
        <v>5.73</v>
      </c>
      <c r="N98" s="62">
        <v>5.0599999999999996</v>
      </c>
    </row>
    <row r="99" spans="1:14" x14ac:dyDescent="0.25">
      <c r="A99" s="215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216"/>
    </row>
    <row r="100" spans="1:14" ht="18.75" x14ac:dyDescent="0.25">
      <c r="A100" s="209" t="s">
        <v>309</v>
      </c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210"/>
    </row>
    <row r="101" spans="1:14" x14ac:dyDescent="0.25">
      <c r="A101" s="211" t="s">
        <v>292</v>
      </c>
      <c r="B101" s="150" t="s">
        <v>293</v>
      </c>
      <c r="C101" s="150" t="s">
        <v>1</v>
      </c>
      <c r="D101" s="150" t="s">
        <v>2</v>
      </c>
      <c r="E101" s="150" t="s">
        <v>310</v>
      </c>
      <c r="F101" s="150"/>
      <c r="G101" s="150"/>
      <c r="H101" s="150"/>
      <c r="I101" s="30"/>
      <c r="J101" s="30"/>
      <c r="K101" s="30"/>
      <c r="L101" s="30"/>
      <c r="M101" s="30"/>
      <c r="N101" s="59"/>
    </row>
    <row r="102" spans="1:14" x14ac:dyDescent="0.25">
      <c r="A102" s="211"/>
      <c r="B102" s="150"/>
      <c r="C102" s="150"/>
      <c r="D102" s="150"/>
      <c r="E102" s="30" t="s">
        <v>292</v>
      </c>
      <c r="F102" s="30" t="s">
        <v>293</v>
      </c>
      <c r="G102" s="30" t="s">
        <v>1</v>
      </c>
      <c r="H102" s="30" t="s">
        <v>2</v>
      </c>
      <c r="I102" s="30"/>
      <c r="J102" s="30"/>
      <c r="K102" s="30"/>
      <c r="L102" s="30"/>
      <c r="M102" s="30"/>
      <c r="N102" s="59"/>
    </row>
    <row r="103" spans="1:14" x14ac:dyDescent="0.25">
      <c r="A103" s="15" t="s">
        <v>131</v>
      </c>
      <c r="B103" s="5" t="s">
        <v>132</v>
      </c>
      <c r="C103" s="29">
        <v>-13.69</v>
      </c>
      <c r="D103" s="35">
        <v>-50.8</v>
      </c>
      <c r="E103" s="35"/>
      <c r="F103" s="26"/>
      <c r="G103" s="35"/>
      <c r="H103" s="35"/>
      <c r="I103" s="35"/>
      <c r="J103" s="35"/>
      <c r="K103" s="35"/>
      <c r="L103" s="35"/>
      <c r="M103" s="35"/>
      <c r="N103" s="64"/>
    </row>
    <row r="104" spans="1:14" x14ac:dyDescent="0.25">
      <c r="A104" s="215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216"/>
    </row>
    <row r="105" spans="1:14" ht="18.75" x14ac:dyDescent="0.25">
      <c r="A105" s="209" t="s">
        <v>311</v>
      </c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210"/>
    </row>
    <row r="106" spans="1:14" x14ac:dyDescent="0.25">
      <c r="A106" s="211" t="s">
        <v>292</v>
      </c>
      <c r="B106" s="150" t="s">
        <v>293</v>
      </c>
      <c r="C106" s="151" t="s">
        <v>312</v>
      </c>
      <c r="D106" s="152"/>
      <c r="E106" s="152"/>
      <c r="F106" s="153"/>
      <c r="G106" s="151" t="s">
        <v>313</v>
      </c>
      <c r="H106" s="152"/>
      <c r="I106" s="152"/>
      <c r="J106" s="153"/>
      <c r="K106" s="30"/>
      <c r="L106" s="30"/>
      <c r="M106" s="30"/>
      <c r="N106" s="59"/>
    </row>
    <row r="107" spans="1:14" x14ac:dyDescent="0.25">
      <c r="A107" s="211"/>
      <c r="B107" s="150"/>
      <c r="C107" s="154"/>
      <c r="D107" s="155"/>
      <c r="E107" s="155"/>
      <c r="F107" s="156"/>
      <c r="G107" s="154"/>
      <c r="H107" s="155"/>
      <c r="I107" s="155"/>
      <c r="J107" s="156"/>
      <c r="K107" s="30"/>
      <c r="L107" s="30"/>
      <c r="M107" s="30"/>
      <c r="N107" s="59"/>
    </row>
    <row r="108" spans="1:14" ht="15.75" thickBot="1" x14ac:dyDescent="0.3">
      <c r="A108" s="65"/>
      <c r="B108" s="66"/>
      <c r="C108" s="206"/>
      <c r="D108" s="206"/>
      <c r="E108" s="206"/>
      <c r="F108" s="206"/>
      <c r="G108" s="206"/>
      <c r="H108" s="206"/>
      <c r="I108" s="206"/>
      <c r="J108" s="206"/>
      <c r="K108" s="67"/>
      <c r="L108" s="67"/>
      <c r="M108" s="67"/>
      <c r="N108" s="68"/>
    </row>
    <row r="109" spans="1:14" ht="16.5" thickTop="1" thickBo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</row>
    <row r="110" spans="1:14" ht="19.5" thickTop="1" x14ac:dyDescent="0.25">
      <c r="A110" s="178" t="s">
        <v>477</v>
      </c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80"/>
    </row>
    <row r="111" spans="1:14" x14ac:dyDescent="0.25">
      <c r="A111" s="215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216"/>
    </row>
    <row r="112" spans="1:14" ht="18.75" x14ac:dyDescent="0.25">
      <c r="A112" s="209" t="s">
        <v>291</v>
      </c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210"/>
    </row>
    <row r="113" spans="1:16" x14ac:dyDescent="0.25">
      <c r="A113" s="211" t="s">
        <v>292</v>
      </c>
      <c r="B113" s="150" t="s">
        <v>293</v>
      </c>
      <c r="C113" s="157" t="s">
        <v>294</v>
      </c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214"/>
    </row>
    <row r="114" spans="1:16" x14ac:dyDescent="0.25">
      <c r="A114" s="211"/>
      <c r="B114" s="150"/>
      <c r="C114" s="30" t="s">
        <v>295</v>
      </c>
      <c r="D114" s="30" t="s">
        <v>296</v>
      </c>
      <c r="E114" s="30" t="s">
        <v>297</v>
      </c>
      <c r="F114" s="30" t="s">
        <v>298</v>
      </c>
      <c r="G114" s="30" t="s">
        <v>299</v>
      </c>
      <c r="H114" s="30" t="s">
        <v>300</v>
      </c>
      <c r="I114" s="30" t="s">
        <v>301</v>
      </c>
      <c r="J114" s="30" t="s">
        <v>302</v>
      </c>
      <c r="K114" s="30" t="s">
        <v>303</v>
      </c>
      <c r="L114" s="30" t="s">
        <v>304</v>
      </c>
      <c r="M114" s="30" t="s">
        <v>305</v>
      </c>
      <c r="N114" s="59" t="s">
        <v>306</v>
      </c>
    </row>
    <row r="115" spans="1:16" x14ac:dyDescent="0.25">
      <c r="A115" s="60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1"/>
    </row>
    <row r="116" spans="1:16" x14ac:dyDescent="0.25">
      <c r="A116" s="215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216"/>
    </row>
    <row r="117" spans="1:16" x14ac:dyDescent="0.25">
      <c r="A117" s="211" t="s">
        <v>292</v>
      </c>
      <c r="B117" s="150" t="s">
        <v>293</v>
      </c>
      <c r="C117" s="157" t="s">
        <v>308</v>
      </c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214"/>
    </row>
    <row r="118" spans="1:16" x14ac:dyDescent="0.25">
      <c r="A118" s="211"/>
      <c r="B118" s="150"/>
      <c r="C118" s="30" t="s">
        <v>295</v>
      </c>
      <c r="D118" s="30" t="s">
        <v>296</v>
      </c>
      <c r="E118" s="30" t="s">
        <v>297</v>
      </c>
      <c r="F118" s="30" t="s">
        <v>298</v>
      </c>
      <c r="G118" s="30" t="s">
        <v>299</v>
      </c>
      <c r="H118" s="30" t="s">
        <v>300</v>
      </c>
      <c r="I118" s="30" t="s">
        <v>301</v>
      </c>
      <c r="J118" s="30" t="s">
        <v>302</v>
      </c>
      <c r="K118" s="30" t="s">
        <v>303</v>
      </c>
      <c r="L118" s="30" t="s">
        <v>304</v>
      </c>
      <c r="M118" s="30" t="s">
        <v>305</v>
      </c>
      <c r="N118" s="59" t="s">
        <v>306</v>
      </c>
    </row>
    <row r="119" spans="1:16" x14ac:dyDescent="0.25">
      <c r="A119" s="60">
        <v>27500000</v>
      </c>
      <c r="B119" s="5" t="s">
        <v>478</v>
      </c>
      <c r="C119" s="29">
        <v>5.03</v>
      </c>
      <c r="D119" s="29">
        <v>5.29</v>
      </c>
      <c r="E119" s="29">
        <v>5.16</v>
      </c>
      <c r="F119" s="29">
        <v>4.97</v>
      </c>
      <c r="G119" s="29">
        <v>4.71</v>
      </c>
      <c r="H119" s="29">
        <v>4.57</v>
      </c>
      <c r="I119" s="29">
        <v>5</v>
      </c>
      <c r="J119" s="29">
        <v>5.87</v>
      </c>
      <c r="K119" s="29">
        <v>5.87</v>
      </c>
      <c r="L119" s="29">
        <v>5.52</v>
      </c>
      <c r="M119" s="29">
        <v>5.17</v>
      </c>
      <c r="N119" s="62">
        <v>4.7699999999999996</v>
      </c>
    </row>
    <row r="120" spans="1:16" x14ac:dyDescent="0.25">
      <c r="A120" s="215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216"/>
    </row>
    <row r="121" spans="1:16" ht="18.75" x14ac:dyDescent="0.25">
      <c r="A121" s="209" t="s">
        <v>309</v>
      </c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210"/>
      <c r="P121" s="109"/>
    </row>
    <row r="122" spans="1:16" x14ac:dyDescent="0.25">
      <c r="A122" s="211" t="s">
        <v>292</v>
      </c>
      <c r="B122" s="150" t="s">
        <v>293</v>
      </c>
      <c r="C122" s="150" t="s">
        <v>1</v>
      </c>
      <c r="D122" s="150" t="s">
        <v>2</v>
      </c>
      <c r="E122" s="150" t="s">
        <v>310</v>
      </c>
      <c r="F122" s="150"/>
      <c r="G122" s="150"/>
      <c r="H122" s="150"/>
      <c r="I122" s="30"/>
      <c r="J122" s="30"/>
      <c r="K122" s="30"/>
      <c r="L122" s="30"/>
      <c r="M122" s="30"/>
      <c r="N122" s="59"/>
    </row>
    <row r="123" spans="1:16" x14ac:dyDescent="0.25">
      <c r="A123" s="211"/>
      <c r="B123" s="150"/>
      <c r="C123" s="150"/>
      <c r="D123" s="150"/>
      <c r="E123" s="30" t="s">
        <v>292</v>
      </c>
      <c r="F123" s="30" t="s">
        <v>293</v>
      </c>
      <c r="G123" s="30" t="s">
        <v>1</v>
      </c>
      <c r="H123" s="30" t="s">
        <v>2</v>
      </c>
      <c r="I123" s="30"/>
      <c r="J123" s="30"/>
      <c r="K123" s="30"/>
      <c r="L123" s="30"/>
      <c r="M123" s="30"/>
      <c r="N123" s="59"/>
    </row>
    <row r="124" spans="1:16" x14ac:dyDescent="0.25">
      <c r="A124" s="15" t="s">
        <v>133</v>
      </c>
      <c r="B124" s="5" t="s">
        <v>134</v>
      </c>
      <c r="C124" s="29">
        <v>-8.27</v>
      </c>
      <c r="D124" s="35">
        <v>-49.26</v>
      </c>
      <c r="E124" s="35"/>
      <c r="F124" s="26"/>
      <c r="G124" s="35"/>
      <c r="H124" s="35"/>
      <c r="I124" s="35"/>
      <c r="J124" s="35"/>
      <c r="K124" s="35"/>
      <c r="L124" s="35"/>
      <c r="M124" s="35"/>
      <c r="N124" s="64"/>
    </row>
    <row r="125" spans="1:16" x14ac:dyDescent="0.25">
      <c r="A125" s="215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216"/>
    </row>
    <row r="126" spans="1:16" ht="18.75" x14ac:dyDescent="0.25">
      <c r="A126" s="209" t="s">
        <v>311</v>
      </c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210"/>
    </row>
    <row r="127" spans="1:16" x14ac:dyDescent="0.25">
      <c r="A127" s="211" t="s">
        <v>292</v>
      </c>
      <c r="B127" s="150" t="s">
        <v>293</v>
      </c>
      <c r="C127" s="151" t="s">
        <v>312</v>
      </c>
      <c r="D127" s="152"/>
      <c r="E127" s="152"/>
      <c r="F127" s="153"/>
      <c r="G127" s="151" t="s">
        <v>313</v>
      </c>
      <c r="H127" s="152"/>
      <c r="I127" s="152"/>
      <c r="J127" s="153"/>
      <c r="K127" s="30"/>
      <c r="L127" s="30"/>
      <c r="M127" s="30"/>
      <c r="N127" s="59"/>
    </row>
    <row r="128" spans="1:16" x14ac:dyDescent="0.25">
      <c r="A128" s="211"/>
      <c r="B128" s="150"/>
      <c r="C128" s="154"/>
      <c r="D128" s="155"/>
      <c r="E128" s="155"/>
      <c r="F128" s="156"/>
      <c r="G128" s="154"/>
      <c r="H128" s="155"/>
      <c r="I128" s="155"/>
      <c r="J128" s="156"/>
      <c r="K128" s="30"/>
      <c r="L128" s="30"/>
      <c r="M128" s="30"/>
      <c r="N128" s="59"/>
    </row>
    <row r="129" spans="1:27" ht="15.75" thickBot="1" x14ac:dyDescent="0.3">
      <c r="A129" s="65"/>
      <c r="B129" s="66"/>
      <c r="C129" s="206"/>
      <c r="D129" s="206"/>
      <c r="E129" s="206"/>
      <c r="F129" s="206"/>
      <c r="G129" s="206"/>
      <c r="H129" s="206"/>
      <c r="I129" s="206"/>
      <c r="J129" s="206"/>
      <c r="K129" s="67"/>
      <c r="L129" s="67"/>
      <c r="M129" s="67"/>
      <c r="N129" s="68"/>
    </row>
    <row r="130" spans="1:27" ht="16.5" thickTop="1" thickBot="1" x14ac:dyDescent="0.3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</row>
    <row r="131" spans="1:27" ht="19.5" thickTop="1" x14ac:dyDescent="0.25">
      <c r="A131" s="178" t="s">
        <v>479</v>
      </c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80"/>
    </row>
    <row r="132" spans="1:27" x14ac:dyDescent="0.25">
      <c r="A132" s="215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216"/>
    </row>
    <row r="133" spans="1:27" ht="18.75" x14ac:dyDescent="0.25">
      <c r="A133" s="209" t="s">
        <v>291</v>
      </c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210"/>
    </row>
    <row r="134" spans="1:27" x14ac:dyDescent="0.25">
      <c r="A134" s="211" t="s">
        <v>292</v>
      </c>
      <c r="B134" s="150" t="s">
        <v>293</v>
      </c>
      <c r="C134" s="157" t="s">
        <v>294</v>
      </c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214"/>
    </row>
    <row r="135" spans="1:27" x14ac:dyDescent="0.25">
      <c r="A135" s="211"/>
      <c r="B135" s="150"/>
      <c r="C135" s="30" t="s">
        <v>295</v>
      </c>
      <c r="D135" s="30" t="s">
        <v>296</v>
      </c>
      <c r="E135" s="30" t="s">
        <v>297</v>
      </c>
      <c r="F135" s="30" t="s">
        <v>298</v>
      </c>
      <c r="G135" s="30" t="s">
        <v>299</v>
      </c>
      <c r="H135" s="30" t="s">
        <v>300</v>
      </c>
      <c r="I135" s="30" t="s">
        <v>301</v>
      </c>
      <c r="J135" s="30" t="s">
        <v>302</v>
      </c>
      <c r="K135" s="30" t="s">
        <v>303</v>
      </c>
      <c r="L135" s="30" t="s">
        <v>304</v>
      </c>
      <c r="M135" s="30" t="s">
        <v>305</v>
      </c>
      <c r="N135" s="59" t="s">
        <v>306</v>
      </c>
    </row>
    <row r="136" spans="1:27" x14ac:dyDescent="0.25">
      <c r="A136" s="60">
        <v>275</v>
      </c>
      <c r="B136" s="5" t="s">
        <v>142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1"/>
    </row>
    <row r="137" spans="1:27" x14ac:dyDescent="0.25">
      <c r="A137" s="215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216"/>
    </row>
    <row r="138" spans="1:27" x14ac:dyDescent="0.25">
      <c r="A138" s="211" t="s">
        <v>292</v>
      </c>
      <c r="B138" s="150" t="s">
        <v>293</v>
      </c>
      <c r="C138" s="157" t="s">
        <v>308</v>
      </c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214"/>
    </row>
    <row r="139" spans="1:27" x14ac:dyDescent="0.25">
      <c r="A139" s="211"/>
      <c r="B139" s="150"/>
      <c r="C139" s="30" t="s">
        <v>295</v>
      </c>
      <c r="D139" s="30" t="s">
        <v>296</v>
      </c>
      <c r="E139" s="30" t="s">
        <v>297</v>
      </c>
      <c r="F139" s="30" t="s">
        <v>298</v>
      </c>
      <c r="G139" s="30" t="s">
        <v>299</v>
      </c>
      <c r="H139" s="30" t="s">
        <v>300</v>
      </c>
      <c r="I139" s="30" t="s">
        <v>301</v>
      </c>
      <c r="J139" s="30" t="s">
        <v>302</v>
      </c>
      <c r="K139" s="30" t="s">
        <v>303</v>
      </c>
      <c r="L139" s="30" t="s">
        <v>304</v>
      </c>
      <c r="M139" s="30" t="s">
        <v>305</v>
      </c>
      <c r="N139" s="59" t="s">
        <v>306</v>
      </c>
    </row>
    <row r="140" spans="1:27" x14ac:dyDescent="0.25">
      <c r="A140" s="60">
        <v>275</v>
      </c>
      <c r="B140" s="5" t="s">
        <v>142</v>
      </c>
      <c r="C140" s="29">
        <v>4.97</v>
      </c>
      <c r="D140" s="29">
        <v>5.25</v>
      </c>
      <c r="E140" s="29">
        <v>5.16</v>
      </c>
      <c r="F140" s="29">
        <v>4.97</v>
      </c>
      <c r="G140" s="29">
        <v>4.68</v>
      </c>
      <c r="H140" s="29">
        <v>4.5</v>
      </c>
      <c r="I140" s="29">
        <v>4.9400000000000004</v>
      </c>
      <c r="J140" s="29">
        <v>5.71</v>
      </c>
      <c r="K140" s="29">
        <v>5.7</v>
      </c>
      <c r="L140" s="29">
        <v>5.42</v>
      </c>
      <c r="M140" s="29">
        <v>5.07</v>
      </c>
      <c r="N140" s="62">
        <v>4.68</v>
      </c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spans="1:27" x14ac:dyDescent="0.25">
      <c r="A141" s="215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216"/>
    </row>
    <row r="142" spans="1:27" ht="18.75" x14ac:dyDescent="0.25">
      <c r="A142" s="209" t="s">
        <v>309</v>
      </c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210"/>
    </row>
    <row r="143" spans="1:27" x14ac:dyDescent="0.25">
      <c r="A143" s="211" t="s">
        <v>292</v>
      </c>
      <c r="B143" s="150" t="s">
        <v>293</v>
      </c>
      <c r="C143" s="150" t="s">
        <v>1</v>
      </c>
      <c r="D143" s="150" t="s">
        <v>2</v>
      </c>
      <c r="E143" s="150" t="s">
        <v>310</v>
      </c>
      <c r="F143" s="150"/>
      <c r="G143" s="150"/>
      <c r="H143" s="150"/>
      <c r="I143" s="30"/>
      <c r="J143" s="30"/>
      <c r="K143" s="30"/>
      <c r="L143" s="30"/>
      <c r="M143" s="30"/>
      <c r="N143" s="59"/>
    </row>
    <row r="144" spans="1:27" x14ac:dyDescent="0.25">
      <c r="A144" s="211"/>
      <c r="B144" s="150"/>
      <c r="C144" s="150"/>
      <c r="D144" s="150"/>
      <c r="E144" s="30" t="s">
        <v>292</v>
      </c>
      <c r="F144" s="30" t="s">
        <v>293</v>
      </c>
      <c r="G144" s="30" t="s">
        <v>1</v>
      </c>
      <c r="H144" s="30" t="s">
        <v>2</v>
      </c>
      <c r="I144" s="30"/>
      <c r="J144" s="30"/>
      <c r="K144" s="30"/>
      <c r="L144" s="30"/>
      <c r="M144" s="30"/>
      <c r="N144" s="59"/>
    </row>
    <row r="145" spans="1:15" x14ac:dyDescent="0.25">
      <c r="A145" s="15" t="s">
        <v>141</v>
      </c>
      <c r="B145" s="5" t="s">
        <v>142</v>
      </c>
      <c r="C145" s="29">
        <v>-3.83</v>
      </c>
      <c r="D145" s="35">
        <v>-49.65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64"/>
    </row>
    <row r="146" spans="1:15" x14ac:dyDescent="0.25">
      <c r="A146" s="215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216"/>
    </row>
    <row r="147" spans="1:15" ht="18.75" x14ac:dyDescent="0.25">
      <c r="A147" s="209" t="s">
        <v>311</v>
      </c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210"/>
    </row>
    <row r="148" spans="1:15" x14ac:dyDescent="0.25">
      <c r="A148" s="211" t="s">
        <v>292</v>
      </c>
      <c r="B148" s="150" t="s">
        <v>293</v>
      </c>
      <c r="C148" s="225" t="s">
        <v>312</v>
      </c>
      <c r="D148" s="226"/>
      <c r="E148" s="225" t="s">
        <v>569</v>
      </c>
      <c r="F148" s="226"/>
      <c r="G148" s="225" t="s">
        <v>570</v>
      </c>
      <c r="H148" s="226"/>
      <c r="I148" s="225" t="s">
        <v>313</v>
      </c>
      <c r="J148" s="226"/>
      <c r="K148" s="157" t="s">
        <v>568</v>
      </c>
      <c r="L148" s="158"/>
      <c r="M148" s="158"/>
      <c r="N148" s="176"/>
    </row>
    <row r="149" spans="1:15" x14ac:dyDescent="0.25">
      <c r="A149" s="211"/>
      <c r="B149" s="150"/>
      <c r="C149" s="227"/>
      <c r="D149" s="228"/>
      <c r="E149" s="227"/>
      <c r="F149" s="228"/>
      <c r="G149" s="227"/>
      <c r="H149" s="228"/>
      <c r="I149" s="227"/>
      <c r="J149" s="228"/>
      <c r="K149" s="30" t="s">
        <v>564</v>
      </c>
      <c r="L149" s="30" t="s">
        <v>565</v>
      </c>
      <c r="M149" s="30" t="s">
        <v>566</v>
      </c>
      <c r="N149" s="42" t="s">
        <v>567</v>
      </c>
    </row>
    <row r="150" spans="1:15" x14ac:dyDescent="0.25">
      <c r="A150" s="60">
        <v>25700000</v>
      </c>
      <c r="B150" s="5" t="s">
        <v>132</v>
      </c>
      <c r="C150" s="230" t="s">
        <v>142</v>
      </c>
      <c r="D150" s="230"/>
      <c r="E150" s="230" t="s">
        <v>571</v>
      </c>
      <c r="F150" s="230"/>
      <c r="G150" s="232" t="str">
        <f>B151</f>
        <v>Conceição do Araguaia</v>
      </c>
      <c r="H150" s="232"/>
      <c r="I150" s="224">
        <v>144</v>
      </c>
      <c r="J150" s="224"/>
      <c r="K150" s="6">
        <v>24.955043951031801</v>
      </c>
      <c r="L150" s="6">
        <v>0</v>
      </c>
      <c r="M150" s="136">
        <v>9</v>
      </c>
      <c r="N150" s="137">
        <v>1</v>
      </c>
    </row>
    <row r="151" spans="1:15" ht="15.75" thickBot="1" x14ac:dyDescent="0.3">
      <c r="A151" s="130">
        <v>27500000</v>
      </c>
      <c r="B151" s="131" t="s">
        <v>134</v>
      </c>
      <c r="C151" s="231" t="s">
        <v>142</v>
      </c>
      <c r="D151" s="231"/>
      <c r="E151" s="231" t="str">
        <f>B150</f>
        <v>Bandeirantes</v>
      </c>
      <c r="F151" s="231"/>
      <c r="G151" s="231" t="str">
        <f>C151</f>
        <v>Tucuruí</v>
      </c>
      <c r="H151" s="231"/>
      <c r="I151" s="229">
        <v>72</v>
      </c>
      <c r="J151" s="229"/>
      <c r="K151" s="135">
        <v>4.5</v>
      </c>
      <c r="L151" s="135">
        <v>0.3</v>
      </c>
      <c r="M151" s="132">
        <v>3</v>
      </c>
      <c r="N151" s="133">
        <v>1</v>
      </c>
    </row>
    <row r="152" spans="1:15" ht="16.5" thickTop="1" thickBot="1" x14ac:dyDescent="0.3"/>
    <row r="153" spans="1:15" ht="19.5" thickTop="1" x14ac:dyDescent="0.25">
      <c r="A153" s="178" t="s">
        <v>480</v>
      </c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80"/>
      <c r="O153" s="128"/>
    </row>
    <row r="154" spans="1:15" x14ac:dyDescent="0.25">
      <c r="A154" s="171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72"/>
    </row>
    <row r="155" spans="1:15" ht="18.75" x14ac:dyDescent="0.25">
      <c r="A155" s="173" t="s">
        <v>291</v>
      </c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74"/>
    </row>
    <row r="156" spans="1:15" x14ac:dyDescent="0.25">
      <c r="A156" s="175" t="s">
        <v>292</v>
      </c>
      <c r="B156" s="150" t="s">
        <v>293</v>
      </c>
      <c r="C156" s="157" t="s">
        <v>294</v>
      </c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76"/>
    </row>
    <row r="157" spans="1:15" x14ac:dyDescent="0.25">
      <c r="A157" s="175"/>
      <c r="B157" s="150"/>
      <c r="C157" s="30" t="s">
        <v>295</v>
      </c>
      <c r="D157" s="30" t="s">
        <v>296</v>
      </c>
      <c r="E157" s="30" t="s">
        <v>297</v>
      </c>
      <c r="F157" s="30" t="s">
        <v>298</v>
      </c>
      <c r="G157" s="30" t="s">
        <v>299</v>
      </c>
      <c r="H157" s="30" t="s">
        <v>300</v>
      </c>
      <c r="I157" s="30" t="s">
        <v>301</v>
      </c>
      <c r="J157" s="30" t="s">
        <v>302</v>
      </c>
      <c r="K157" s="30" t="s">
        <v>303</v>
      </c>
      <c r="L157" s="30" t="s">
        <v>304</v>
      </c>
      <c r="M157" s="30" t="s">
        <v>305</v>
      </c>
      <c r="N157" s="42" t="s">
        <v>306</v>
      </c>
    </row>
    <row r="158" spans="1:15" x14ac:dyDescent="0.25">
      <c r="A158" s="114"/>
      <c r="B158" s="100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2"/>
    </row>
    <row r="159" spans="1:15" x14ac:dyDescent="0.25">
      <c r="A159" s="171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72"/>
    </row>
    <row r="160" spans="1:15" x14ac:dyDescent="0.25">
      <c r="A160" s="175" t="s">
        <v>292</v>
      </c>
      <c r="B160" s="150" t="s">
        <v>293</v>
      </c>
      <c r="C160" s="157" t="s">
        <v>308</v>
      </c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76"/>
    </row>
    <row r="161" spans="1:15" x14ac:dyDescent="0.25">
      <c r="A161" s="175"/>
      <c r="B161" s="150"/>
      <c r="C161" s="30" t="s">
        <v>295</v>
      </c>
      <c r="D161" s="30" t="s">
        <v>296</v>
      </c>
      <c r="E161" s="30" t="s">
        <v>297</v>
      </c>
      <c r="F161" s="30" t="s">
        <v>298</v>
      </c>
      <c r="G161" s="30" t="s">
        <v>299</v>
      </c>
      <c r="H161" s="30" t="s">
        <v>300</v>
      </c>
      <c r="I161" s="30" t="s">
        <v>301</v>
      </c>
      <c r="J161" s="30" t="s">
        <v>302</v>
      </c>
      <c r="K161" s="30" t="s">
        <v>303</v>
      </c>
      <c r="L161" s="30" t="s">
        <v>304</v>
      </c>
      <c r="M161" s="30" t="s">
        <v>305</v>
      </c>
      <c r="N161" s="42" t="s">
        <v>306</v>
      </c>
    </row>
    <row r="162" spans="1:15" x14ac:dyDescent="0.25">
      <c r="A162" s="87">
        <v>15200010</v>
      </c>
      <c r="B162" s="80" t="s">
        <v>481</v>
      </c>
      <c r="C162" s="91">
        <v>4.29</v>
      </c>
      <c r="D162" s="91">
        <v>4.13</v>
      </c>
      <c r="E162" s="91">
        <v>4.03</v>
      </c>
      <c r="F162" s="91">
        <v>3.79</v>
      </c>
      <c r="G162" s="91">
        <v>3.38</v>
      </c>
      <c r="H162" s="91">
        <v>3.37</v>
      </c>
      <c r="I162" s="91">
        <v>3.79</v>
      </c>
      <c r="J162" s="91">
        <v>4.4800000000000004</v>
      </c>
      <c r="K162" s="91">
        <v>4.8899999999999997</v>
      </c>
      <c r="L162" s="91">
        <v>4.9000000000000004</v>
      </c>
      <c r="M162" s="91">
        <v>4.6399999999999997</v>
      </c>
      <c r="N162" s="92">
        <v>4.3499999999999996</v>
      </c>
    </row>
    <row r="163" spans="1:15" x14ac:dyDescent="0.25">
      <c r="A163" s="171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72"/>
    </row>
    <row r="164" spans="1:15" ht="18.75" x14ac:dyDescent="0.25">
      <c r="A164" s="173" t="s">
        <v>309</v>
      </c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74"/>
    </row>
    <row r="165" spans="1:15" x14ac:dyDescent="0.25">
      <c r="A165" s="175" t="s">
        <v>292</v>
      </c>
      <c r="B165" s="150" t="s">
        <v>293</v>
      </c>
      <c r="C165" s="150" t="s">
        <v>1</v>
      </c>
      <c r="D165" s="150" t="s">
        <v>2</v>
      </c>
      <c r="E165" s="150" t="s">
        <v>310</v>
      </c>
      <c r="F165" s="150"/>
      <c r="G165" s="150"/>
      <c r="H165" s="150"/>
      <c r="I165" s="30"/>
      <c r="J165" s="30"/>
      <c r="K165" s="30"/>
      <c r="L165" s="30"/>
      <c r="M165" s="30"/>
      <c r="N165" s="42"/>
    </row>
    <row r="166" spans="1:15" x14ac:dyDescent="0.25">
      <c r="A166" s="175"/>
      <c r="B166" s="150"/>
      <c r="C166" s="150"/>
      <c r="D166" s="150"/>
      <c r="E166" s="30" t="s">
        <v>292</v>
      </c>
      <c r="F166" s="30" t="s">
        <v>293</v>
      </c>
      <c r="G166" s="30" t="s">
        <v>1</v>
      </c>
      <c r="H166" s="30" t="s">
        <v>2</v>
      </c>
      <c r="I166" s="30"/>
      <c r="J166" s="30"/>
      <c r="K166" s="30"/>
      <c r="L166" s="30"/>
      <c r="M166" s="30"/>
      <c r="N166" s="42"/>
    </row>
    <row r="167" spans="1:15" x14ac:dyDescent="0.25">
      <c r="A167" s="39" t="s">
        <v>561</v>
      </c>
      <c r="B167" s="5" t="s">
        <v>481</v>
      </c>
      <c r="C167" s="29">
        <v>-12.42</v>
      </c>
      <c r="D167" s="29">
        <v>-64.42</v>
      </c>
      <c r="E167" s="6"/>
      <c r="F167" s="6"/>
      <c r="G167" s="6"/>
      <c r="H167" s="6"/>
      <c r="I167" s="35"/>
      <c r="J167" s="35"/>
      <c r="K167" s="35"/>
      <c r="L167" s="35"/>
      <c r="M167" s="35"/>
      <c r="N167" s="46"/>
    </row>
    <row r="168" spans="1:15" x14ac:dyDescent="0.25">
      <c r="A168" s="171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72"/>
    </row>
    <row r="169" spans="1:15" ht="18.75" x14ac:dyDescent="0.25">
      <c r="A169" s="173" t="s">
        <v>311</v>
      </c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74"/>
    </row>
    <row r="170" spans="1:15" x14ac:dyDescent="0.25">
      <c r="A170" s="175" t="s">
        <v>292</v>
      </c>
      <c r="B170" s="150" t="s">
        <v>293</v>
      </c>
      <c r="C170" s="151" t="s">
        <v>312</v>
      </c>
      <c r="D170" s="152"/>
      <c r="E170" s="152"/>
      <c r="F170" s="153"/>
      <c r="G170" s="151" t="s">
        <v>313</v>
      </c>
      <c r="H170" s="152"/>
      <c r="I170" s="152"/>
      <c r="J170" s="153"/>
      <c r="K170" s="30"/>
      <c r="L170" s="30"/>
      <c r="M170" s="30"/>
      <c r="N170" s="42"/>
    </row>
    <row r="171" spans="1:15" x14ac:dyDescent="0.25">
      <c r="A171" s="175"/>
      <c r="B171" s="150"/>
      <c r="C171" s="154"/>
      <c r="D171" s="155"/>
      <c r="E171" s="155"/>
      <c r="F171" s="156"/>
      <c r="G171" s="154"/>
      <c r="H171" s="155"/>
      <c r="I171" s="155"/>
      <c r="J171" s="156"/>
      <c r="K171" s="30"/>
      <c r="L171" s="30"/>
      <c r="M171" s="30"/>
      <c r="N171" s="42"/>
    </row>
    <row r="172" spans="1:15" ht="15.75" thickBot="1" x14ac:dyDescent="0.3">
      <c r="A172" s="49"/>
      <c r="B172" s="50"/>
      <c r="C172" s="177"/>
      <c r="D172" s="177"/>
      <c r="E172" s="177"/>
      <c r="F172" s="177"/>
      <c r="G172" s="177"/>
      <c r="H172" s="177"/>
      <c r="I172" s="177"/>
      <c r="J172" s="177"/>
      <c r="K172" s="51"/>
      <c r="L172" s="51"/>
      <c r="M172" s="51"/>
      <c r="N172" s="52"/>
    </row>
    <row r="173" spans="1:15" ht="16.5" thickTop="1" thickBot="1" x14ac:dyDescent="0.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</row>
    <row r="174" spans="1:15" ht="19.5" thickTop="1" x14ac:dyDescent="0.25">
      <c r="A174" s="178" t="s">
        <v>482</v>
      </c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80"/>
      <c r="O174" s="128"/>
    </row>
    <row r="175" spans="1:15" x14ac:dyDescent="0.25">
      <c r="A175" s="171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72"/>
    </row>
    <row r="176" spans="1:15" ht="18.75" x14ac:dyDescent="0.25">
      <c r="A176" s="173" t="s">
        <v>291</v>
      </c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74"/>
    </row>
    <row r="177" spans="1:14" x14ac:dyDescent="0.25">
      <c r="A177" s="175" t="s">
        <v>292</v>
      </c>
      <c r="B177" s="150" t="s">
        <v>293</v>
      </c>
      <c r="C177" s="157" t="s">
        <v>294</v>
      </c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76"/>
    </row>
    <row r="178" spans="1:14" x14ac:dyDescent="0.25">
      <c r="A178" s="175"/>
      <c r="B178" s="150"/>
      <c r="C178" s="30" t="s">
        <v>295</v>
      </c>
      <c r="D178" s="30" t="s">
        <v>296</v>
      </c>
      <c r="E178" s="30" t="s">
        <v>297</v>
      </c>
      <c r="F178" s="30" t="s">
        <v>298</v>
      </c>
      <c r="G178" s="30" t="s">
        <v>299</v>
      </c>
      <c r="H178" s="30" t="s">
        <v>300</v>
      </c>
      <c r="I178" s="30" t="s">
        <v>301</v>
      </c>
      <c r="J178" s="30" t="s">
        <v>302</v>
      </c>
      <c r="K178" s="30" t="s">
        <v>303</v>
      </c>
      <c r="L178" s="30" t="s">
        <v>304</v>
      </c>
      <c r="M178" s="30" t="s">
        <v>305</v>
      </c>
      <c r="N178" s="42" t="s">
        <v>306</v>
      </c>
    </row>
    <row r="179" spans="1:14" x14ac:dyDescent="0.25">
      <c r="A179" s="38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43"/>
    </row>
    <row r="180" spans="1:14" x14ac:dyDescent="0.25">
      <c r="A180" s="171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72"/>
    </row>
    <row r="181" spans="1:14" x14ac:dyDescent="0.25">
      <c r="A181" s="175" t="s">
        <v>292</v>
      </c>
      <c r="B181" s="150" t="s">
        <v>293</v>
      </c>
      <c r="C181" s="157" t="s">
        <v>308</v>
      </c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76"/>
    </row>
    <row r="182" spans="1:14" x14ac:dyDescent="0.25">
      <c r="A182" s="175"/>
      <c r="B182" s="150"/>
      <c r="C182" s="30" t="s">
        <v>295</v>
      </c>
      <c r="D182" s="30" t="s">
        <v>296</v>
      </c>
      <c r="E182" s="30" t="s">
        <v>297</v>
      </c>
      <c r="F182" s="30" t="s">
        <v>298</v>
      </c>
      <c r="G182" s="30" t="s">
        <v>299</v>
      </c>
      <c r="H182" s="30" t="s">
        <v>300</v>
      </c>
      <c r="I182" s="30" t="s">
        <v>301</v>
      </c>
      <c r="J182" s="30" t="s">
        <v>302</v>
      </c>
      <c r="K182" s="30" t="s">
        <v>303</v>
      </c>
      <c r="L182" s="30" t="s">
        <v>304</v>
      </c>
      <c r="M182" s="30" t="s">
        <v>305</v>
      </c>
      <c r="N182" s="42" t="s">
        <v>306</v>
      </c>
    </row>
    <row r="183" spans="1:14" x14ac:dyDescent="0.25">
      <c r="A183" s="38">
        <v>15250001</v>
      </c>
      <c r="B183" s="5" t="s">
        <v>159</v>
      </c>
      <c r="C183" s="29">
        <v>4.3899999999999997</v>
      </c>
      <c r="D183" s="29">
        <v>4.17</v>
      </c>
      <c r="E183" s="29">
        <v>3.99</v>
      </c>
      <c r="F183" s="29">
        <v>3.62</v>
      </c>
      <c r="G183" s="29">
        <v>3.07</v>
      </c>
      <c r="H183" s="29">
        <v>2.91</v>
      </c>
      <c r="I183" s="29">
        <v>3.24</v>
      </c>
      <c r="J183" s="29">
        <v>3.96</v>
      </c>
      <c r="K183" s="29">
        <v>4.53</v>
      </c>
      <c r="L183" s="29">
        <v>4.75</v>
      </c>
      <c r="M183" s="29">
        <v>4.71</v>
      </c>
      <c r="N183" s="44">
        <v>4.4800000000000004</v>
      </c>
    </row>
    <row r="184" spans="1:14" x14ac:dyDescent="0.25">
      <c r="A184" s="171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72"/>
    </row>
    <row r="185" spans="1:14" ht="18.75" x14ac:dyDescent="0.25">
      <c r="A185" s="173" t="s">
        <v>309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4"/>
    </row>
    <row r="186" spans="1:14" x14ac:dyDescent="0.25">
      <c r="A186" s="175" t="s">
        <v>292</v>
      </c>
      <c r="B186" s="150" t="s">
        <v>293</v>
      </c>
      <c r="C186" s="150" t="s">
        <v>1</v>
      </c>
      <c r="D186" s="150" t="s">
        <v>2</v>
      </c>
      <c r="E186" s="150" t="s">
        <v>310</v>
      </c>
      <c r="F186" s="150"/>
      <c r="G186" s="150"/>
      <c r="H186" s="150"/>
      <c r="I186" s="30"/>
      <c r="J186" s="30"/>
      <c r="K186" s="30"/>
      <c r="L186" s="30"/>
      <c r="M186" s="30"/>
      <c r="N186" s="42"/>
    </row>
    <row r="187" spans="1:14" x14ac:dyDescent="0.25">
      <c r="A187" s="175"/>
      <c r="B187" s="150"/>
      <c r="C187" s="150"/>
      <c r="D187" s="150"/>
      <c r="E187" s="30" t="s">
        <v>292</v>
      </c>
      <c r="F187" s="30" t="s">
        <v>293</v>
      </c>
      <c r="G187" s="30" t="s">
        <v>1</v>
      </c>
      <c r="H187" s="30" t="s">
        <v>2</v>
      </c>
      <c r="I187" s="30"/>
      <c r="J187" s="30"/>
      <c r="K187" s="30"/>
      <c r="L187" s="30"/>
      <c r="M187" s="30"/>
      <c r="N187" s="42"/>
    </row>
    <row r="188" spans="1:14" x14ac:dyDescent="0.25">
      <c r="A188" s="39" t="s">
        <v>560</v>
      </c>
      <c r="B188" s="5" t="s">
        <v>483</v>
      </c>
      <c r="C188" s="29">
        <v>-10.79</v>
      </c>
      <c r="D188" s="29">
        <v>-64.349999999999994</v>
      </c>
      <c r="E188" s="6"/>
      <c r="F188" s="6"/>
      <c r="G188" s="6"/>
      <c r="H188" s="6"/>
      <c r="I188" s="35"/>
      <c r="J188" s="35"/>
      <c r="K188" s="35"/>
      <c r="L188" s="35"/>
      <c r="M188" s="35"/>
      <c r="N188" s="46"/>
    </row>
    <row r="189" spans="1:14" x14ac:dyDescent="0.25">
      <c r="A189" s="171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72"/>
    </row>
    <row r="190" spans="1:14" ht="18.75" x14ac:dyDescent="0.25">
      <c r="A190" s="173" t="s">
        <v>311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4"/>
    </row>
    <row r="191" spans="1:14" x14ac:dyDescent="0.25">
      <c r="A191" s="175" t="s">
        <v>292</v>
      </c>
      <c r="B191" s="150" t="s">
        <v>293</v>
      </c>
      <c r="C191" s="151" t="s">
        <v>312</v>
      </c>
      <c r="D191" s="152"/>
      <c r="E191" s="152"/>
      <c r="F191" s="153"/>
      <c r="G191" s="151" t="s">
        <v>313</v>
      </c>
      <c r="H191" s="152"/>
      <c r="I191" s="152"/>
      <c r="J191" s="153"/>
      <c r="K191" s="30"/>
      <c r="L191" s="30"/>
      <c r="M191" s="30"/>
      <c r="N191" s="42"/>
    </row>
    <row r="192" spans="1:14" x14ac:dyDescent="0.25">
      <c r="A192" s="175"/>
      <c r="B192" s="150"/>
      <c r="C192" s="154"/>
      <c r="D192" s="155"/>
      <c r="E192" s="155"/>
      <c r="F192" s="156"/>
      <c r="G192" s="154"/>
      <c r="H192" s="155"/>
      <c r="I192" s="155"/>
      <c r="J192" s="156"/>
      <c r="K192" s="30"/>
      <c r="L192" s="30"/>
      <c r="M192" s="30"/>
      <c r="N192" s="42"/>
    </row>
    <row r="193" spans="1:15" ht="15.75" thickBot="1" x14ac:dyDescent="0.3">
      <c r="A193" s="49"/>
      <c r="B193" s="50"/>
      <c r="C193" s="177"/>
      <c r="D193" s="177"/>
      <c r="E193" s="177"/>
      <c r="F193" s="177"/>
      <c r="G193" s="177"/>
      <c r="H193" s="177"/>
      <c r="I193" s="177"/>
      <c r="J193" s="177"/>
      <c r="K193" s="51"/>
      <c r="L193" s="51"/>
      <c r="M193" s="51"/>
      <c r="N193" s="52"/>
    </row>
    <row r="194" spans="1:15" ht="16.5" thickTop="1" thickBot="1" x14ac:dyDescent="0.3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</row>
    <row r="195" spans="1:15" ht="19.5" thickTop="1" x14ac:dyDescent="0.25">
      <c r="A195" s="178" t="s">
        <v>563</v>
      </c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80"/>
      <c r="O195" s="128"/>
    </row>
    <row r="196" spans="1:15" x14ac:dyDescent="0.25">
      <c r="A196" s="171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72"/>
    </row>
    <row r="197" spans="1:15" ht="18.75" x14ac:dyDescent="0.25">
      <c r="A197" s="173" t="s">
        <v>291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4"/>
    </row>
    <row r="198" spans="1:15" x14ac:dyDescent="0.25">
      <c r="A198" s="175" t="s">
        <v>292</v>
      </c>
      <c r="B198" s="150" t="s">
        <v>293</v>
      </c>
      <c r="C198" s="157" t="s">
        <v>294</v>
      </c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76"/>
    </row>
    <row r="199" spans="1:15" x14ac:dyDescent="0.25">
      <c r="A199" s="175"/>
      <c r="B199" s="150"/>
      <c r="C199" s="30" t="s">
        <v>295</v>
      </c>
      <c r="D199" s="30" t="s">
        <v>296</v>
      </c>
      <c r="E199" s="30" t="s">
        <v>297</v>
      </c>
      <c r="F199" s="30" t="s">
        <v>298</v>
      </c>
      <c r="G199" s="30" t="s">
        <v>299</v>
      </c>
      <c r="H199" s="30" t="s">
        <v>300</v>
      </c>
      <c r="I199" s="30" t="s">
        <v>301</v>
      </c>
      <c r="J199" s="30" t="s">
        <v>302</v>
      </c>
      <c r="K199" s="30" t="s">
        <v>303</v>
      </c>
      <c r="L199" s="30" t="s">
        <v>304</v>
      </c>
      <c r="M199" s="30" t="s">
        <v>305</v>
      </c>
      <c r="N199" s="42" t="s">
        <v>306</v>
      </c>
    </row>
    <row r="200" spans="1:15" x14ac:dyDescent="0.25">
      <c r="A200" s="38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43"/>
    </row>
    <row r="201" spans="1:15" x14ac:dyDescent="0.25">
      <c r="A201" s="171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72"/>
    </row>
    <row r="202" spans="1:15" x14ac:dyDescent="0.25">
      <c r="A202" s="175" t="s">
        <v>292</v>
      </c>
      <c r="B202" s="150" t="s">
        <v>293</v>
      </c>
      <c r="C202" s="157" t="s">
        <v>308</v>
      </c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76"/>
    </row>
    <row r="203" spans="1:15" x14ac:dyDescent="0.25">
      <c r="A203" s="175"/>
      <c r="B203" s="150"/>
      <c r="C203" s="30" t="s">
        <v>295</v>
      </c>
      <c r="D203" s="30" t="s">
        <v>296</v>
      </c>
      <c r="E203" s="30" t="s">
        <v>297</v>
      </c>
      <c r="F203" s="30" t="s">
        <v>298</v>
      </c>
      <c r="G203" s="30" t="s">
        <v>299</v>
      </c>
      <c r="H203" s="30" t="s">
        <v>300</v>
      </c>
      <c r="I203" s="30" t="s">
        <v>301</v>
      </c>
      <c r="J203" s="30" t="s">
        <v>302</v>
      </c>
      <c r="K203" s="30" t="s">
        <v>303</v>
      </c>
      <c r="L203" s="30" t="s">
        <v>304</v>
      </c>
      <c r="M203" s="30" t="s">
        <v>305</v>
      </c>
      <c r="N203" s="42" t="s">
        <v>306</v>
      </c>
    </row>
    <row r="204" spans="1:15" x14ac:dyDescent="0.25">
      <c r="A204" s="38">
        <v>15299999</v>
      </c>
      <c r="B204" s="5" t="s">
        <v>158</v>
      </c>
      <c r="C204" s="29">
        <v>3.99</v>
      </c>
      <c r="D204" s="29">
        <v>3.87</v>
      </c>
      <c r="E204" s="29">
        <v>3.82</v>
      </c>
      <c r="F204" s="29">
        <v>3.62</v>
      </c>
      <c r="G204" s="29">
        <v>3.23</v>
      </c>
      <c r="H204" s="29">
        <v>3.12</v>
      </c>
      <c r="I204" s="29">
        <v>3.46</v>
      </c>
      <c r="J204" s="29">
        <v>4.09</v>
      </c>
      <c r="K204" s="29">
        <v>4.43</v>
      </c>
      <c r="L204" s="29">
        <v>4.42</v>
      </c>
      <c r="M204" s="29">
        <v>4.26</v>
      </c>
      <c r="N204" s="44">
        <v>4.0599999999999996</v>
      </c>
    </row>
    <row r="205" spans="1:15" x14ac:dyDescent="0.25">
      <c r="A205" s="171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72"/>
    </row>
    <row r="206" spans="1:15" ht="18.75" x14ac:dyDescent="0.25">
      <c r="A206" s="173" t="s">
        <v>309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74"/>
    </row>
    <row r="207" spans="1:15" x14ac:dyDescent="0.25">
      <c r="A207" s="175" t="s">
        <v>292</v>
      </c>
      <c r="B207" s="150" t="s">
        <v>293</v>
      </c>
      <c r="C207" s="150" t="s">
        <v>1</v>
      </c>
      <c r="D207" s="150" t="s">
        <v>2</v>
      </c>
      <c r="E207" s="150" t="s">
        <v>310</v>
      </c>
      <c r="F207" s="150"/>
      <c r="G207" s="150"/>
      <c r="H207" s="150"/>
      <c r="I207" s="221" t="s">
        <v>464</v>
      </c>
      <c r="J207" s="30"/>
      <c r="K207" s="30"/>
      <c r="L207" s="30"/>
      <c r="M207" s="30"/>
      <c r="N207" s="42"/>
    </row>
    <row r="208" spans="1:15" x14ac:dyDescent="0.25">
      <c r="A208" s="175"/>
      <c r="B208" s="150"/>
      <c r="C208" s="150"/>
      <c r="D208" s="150"/>
      <c r="E208" s="30" t="s">
        <v>292</v>
      </c>
      <c r="F208" s="30" t="s">
        <v>293</v>
      </c>
      <c r="G208" s="30" t="s">
        <v>1</v>
      </c>
      <c r="H208" s="30" t="s">
        <v>2</v>
      </c>
      <c r="I208" s="222"/>
      <c r="J208" s="30"/>
      <c r="K208" s="30"/>
      <c r="L208" s="30"/>
      <c r="M208" s="30"/>
      <c r="N208" s="42"/>
    </row>
    <row r="209" spans="1:18" x14ac:dyDescent="0.25">
      <c r="A209" s="39" t="s">
        <v>553</v>
      </c>
      <c r="B209" s="5" t="s">
        <v>546</v>
      </c>
      <c r="C209" s="29">
        <v>-11.71</v>
      </c>
      <c r="D209" s="29">
        <v>-70.63</v>
      </c>
      <c r="E209" s="6"/>
      <c r="F209" s="6"/>
      <c r="G209" s="6"/>
      <c r="H209" s="6"/>
      <c r="I209" s="124">
        <v>3.7999999999999999E-2</v>
      </c>
      <c r="J209" s="35"/>
      <c r="K209" s="35"/>
      <c r="L209" s="35"/>
      <c r="M209" s="35"/>
      <c r="N209" s="46"/>
    </row>
    <row r="210" spans="1:18" x14ac:dyDescent="0.25">
      <c r="A210" s="40" t="s">
        <v>554</v>
      </c>
      <c r="B210" s="3" t="s">
        <v>547</v>
      </c>
      <c r="C210" s="115">
        <v>-12.37</v>
      </c>
      <c r="D210" s="115">
        <v>-71.17</v>
      </c>
      <c r="E210" s="7"/>
      <c r="F210" s="7"/>
      <c r="G210" s="7"/>
      <c r="H210" s="7"/>
      <c r="I210" s="123">
        <v>0.52800000000000002</v>
      </c>
      <c r="J210" s="34"/>
      <c r="K210" s="34"/>
      <c r="L210" s="34"/>
      <c r="M210" s="34"/>
      <c r="N210" s="45"/>
    </row>
    <row r="211" spans="1:18" x14ac:dyDescent="0.25">
      <c r="A211" s="39" t="s">
        <v>555</v>
      </c>
      <c r="B211" s="5" t="s">
        <v>548</v>
      </c>
      <c r="C211" s="29">
        <v>-13.75</v>
      </c>
      <c r="D211" s="29">
        <v>-70.180000000000007</v>
      </c>
      <c r="E211" s="6"/>
      <c r="F211" s="6"/>
      <c r="G211" s="6"/>
      <c r="H211" s="6"/>
      <c r="I211" s="122">
        <v>0.26500000000000001</v>
      </c>
      <c r="J211" s="35"/>
      <c r="K211" s="35"/>
      <c r="L211" s="35"/>
      <c r="M211" s="35"/>
      <c r="N211" s="46"/>
    </row>
    <row r="212" spans="1:18" x14ac:dyDescent="0.25">
      <c r="A212" s="40" t="s">
        <v>556</v>
      </c>
      <c r="B212" s="3" t="s">
        <v>549</v>
      </c>
      <c r="C212" s="115">
        <v>-13.45</v>
      </c>
      <c r="D212" s="115">
        <v>-69.47</v>
      </c>
      <c r="E212" s="7"/>
      <c r="F212" s="7"/>
      <c r="G212" s="7"/>
      <c r="H212" s="7"/>
      <c r="I212" s="123">
        <v>0.16900000000000001</v>
      </c>
      <c r="J212" s="34"/>
      <c r="K212" s="34"/>
      <c r="L212" s="34"/>
      <c r="M212" s="34"/>
      <c r="N212" s="45"/>
    </row>
    <row r="213" spans="1:18" x14ac:dyDescent="0.25">
      <c r="A213" s="171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72"/>
    </row>
    <row r="214" spans="1:18" ht="18.75" x14ac:dyDescent="0.25">
      <c r="A214" s="173" t="s">
        <v>311</v>
      </c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74"/>
    </row>
    <row r="215" spans="1:18" x14ac:dyDescent="0.25">
      <c r="A215" s="175" t="s">
        <v>292</v>
      </c>
      <c r="B215" s="150" t="s">
        <v>293</v>
      </c>
      <c r="C215" s="151" t="s">
        <v>312</v>
      </c>
      <c r="D215" s="152"/>
      <c r="E215" s="152"/>
      <c r="F215" s="153"/>
      <c r="G215" s="151" t="s">
        <v>313</v>
      </c>
      <c r="H215" s="152"/>
      <c r="I215" s="152"/>
      <c r="J215" s="153"/>
      <c r="K215" s="30"/>
      <c r="L215" s="30"/>
      <c r="M215" s="30"/>
      <c r="N215" s="42"/>
    </row>
    <row r="216" spans="1:18" x14ac:dyDescent="0.25">
      <c r="A216" s="175"/>
      <c r="B216" s="150"/>
      <c r="C216" s="154"/>
      <c r="D216" s="155"/>
      <c r="E216" s="155"/>
      <c r="F216" s="156"/>
      <c r="G216" s="154"/>
      <c r="H216" s="155"/>
      <c r="I216" s="155"/>
      <c r="J216" s="156"/>
      <c r="K216" s="30"/>
      <c r="L216" s="30"/>
      <c r="M216" s="30"/>
      <c r="N216" s="42"/>
    </row>
    <row r="217" spans="1:18" ht="15.75" thickBot="1" x14ac:dyDescent="0.3">
      <c r="A217" s="49"/>
      <c r="B217" s="50"/>
      <c r="C217" s="177"/>
      <c r="D217" s="177"/>
      <c r="E217" s="177"/>
      <c r="F217" s="177"/>
      <c r="G217" s="177"/>
      <c r="H217" s="177"/>
      <c r="I217" s="177"/>
      <c r="J217" s="177"/>
      <c r="K217" s="51"/>
      <c r="L217" s="51"/>
      <c r="M217" s="51"/>
      <c r="N217" s="52"/>
    </row>
    <row r="218" spans="1:18" ht="16.5" thickTop="1" thickBot="1" x14ac:dyDescent="0.3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</row>
    <row r="219" spans="1:18" ht="19.5" thickTop="1" x14ac:dyDescent="0.25">
      <c r="A219" s="178" t="s">
        <v>484</v>
      </c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80"/>
      <c r="O219" s="128"/>
    </row>
    <row r="220" spans="1:18" x14ac:dyDescent="0.25">
      <c r="A220" s="171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72"/>
    </row>
    <row r="221" spans="1:18" ht="18.75" x14ac:dyDescent="0.25">
      <c r="A221" s="173" t="s">
        <v>291</v>
      </c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74"/>
    </row>
    <row r="222" spans="1:18" x14ac:dyDescent="0.25">
      <c r="A222" s="175" t="s">
        <v>292</v>
      </c>
      <c r="B222" s="150" t="s">
        <v>293</v>
      </c>
      <c r="C222" s="157" t="s">
        <v>294</v>
      </c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76"/>
    </row>
    <row r="223" spans="1:18" x14ac:dyDescent="0.25">
      <c r="A223" s="175"/>
      <c r="B223" s="150"/>
      <c r="C223" s="30" t="s">
        <v>295</v>
      </c>
      <c r="D223" s="30" t="s">
        <v>296</v>
      </c>
      <c r="E223" s="30" t="s">
        <v>297</v>
      </c>
      <c r="F223" s="30" t="s">
        <v>298</v>
      </c>
      <c r="G223" s="30" t="s">
        <v>299</v>
      </c>
      <c r="H223" s="30" t="s">
        <v>300</v>
      </c>
      <c r="I223" s="30" t="s">
        <v>301</v>
      </c>
      <c r="J223" s="30" t="s">
        <v>302</v>
      </c>
      <c r="K223" s="30" t="s">
        <v>303</v>
      </c>
      <c r="L223" s="30" t="s">
        <v>304</v>
      </c>
      <c r="M223" s="30" t="s">
        <v>305</v>
      </c>
      <c r="N223" s="42" t="s">
        <v>306</v>
      </c>
    </row>
    <row r="224" spans="1:18" x14ac:dyDescent="0.25">
      <c r="A224" s="38">
        <v>285</v>
      </c>
      <c r="B224" s="5" t="s">
        <v>485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46"/>
      <c r="R224" s="125"/>
    </row>
    <row r="225" spans="1:18" x14ac:dyDescent="0.25">
      <c r="A225" s="171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72"/>
      <c r="R225" s="125"/>
    </row>
    <row r="226" spans="1:18" x14ac:dyDescent="0.25">
      <c r="A226" s="175" t="s">
        <v>292</v>
      </c>
      <c r="B226" s="150" t="s">
        <v>293</v>
      </c>
      <c r="C226" s="157" t="s">
        <v>308</v>
      </c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76"/>
      <c r="R226" s="125"/>
    </row>
    <row r="227" spans="1:18" x14ac:dyDescent="0.25">
      <c r="A227" s="175"/>
      <c r="B227" s="150"/>
      <c r="C227" s="30" t="s">
        <v>295</v>
      </c>
      <c r="D227" s="30" t="s">
        <v>296</v>
      </c>
      <c r="E227" s="30" t="s">
        <v>297</v>
      </c>
      <c r="F227" s="30" t="s">
        <v>298</v>
      </c>
      <c r="G227" s="30" t="s">
        <v>299</v>
      </c>
      <c r="H227" s="30" t="s">
        <v>300</v>
      </c>
      <c r="I227" s="30" t="s">
        <v>301</v>
      </c>
      <c r="J227" s="30" t="s">
        <v>302</v>
      </c>
      <c r="K227" s="30" t="s">
        <v>303</v>
      </c>
      <c r="L227" s="30" t="s">
        <v>304</v>
      </c>
      <c r="M227" s="30" t="s">
        <v>305</v>
      </c>
      <c r="N227" s="42" t="s">
        <v>306</v>
      </c>
      <c r="R227" s="125"/>
    </row>
    <row r="228" spans="1:18" x14ac:dyDescent="0.25">
      <c r="A228" s="38">
        <v>285</v>
      </c>
      <c r="B228" s="5" t="s">
        <v>485</v>
      </c>
      <c r="C228" s="29">
        <v>3.99</v>
      </c>
      <c r="D228" s="29">
        <v>3.87</v>
      </c>
      <c r="E228" s="29">
        <v>3.82</v>
      </c>
      <c r="F228" s="29">
        <v>3.62</v>
      </c>
      <c r="G228" s="29">
        <v>3.23</v>
      </c>
      <c r="H228" s="29">
        <v>3.12</v>
      </c>
      <c r="I228" s="29">
        <v>3.46</v>
      </c>
      <c r="J228" s="29">
        <v>4.09</v>
      </c>
      <c r="K228" s="29">
        <v>4.43</v>
      </c>
      <c r="L228" s="29">
        <v>4.42</v>
      </c>
      <c r="M228" s="29">
        <v>4.26</v>
      </c>
      <c r="N228" s="44">
        <v>4.0599999999999996</v>
      </c>
      <c r="R228" s="125"/>
    </row>
    <row r="229" spans="1:18" x14ac:dyDescent="0.25">
      <c r="A229" s="171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72"/>
      <c r="R229" s="125"/>
    </row>
    <row r="230" spans="1:18" ht="18.75" x14ac:dyDescent="0.25">
      <c r="A230" s="173" t="s">
        <v>309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74"/>
      <c r="R230" s="125"/>
    </row>
    <row r="231" spans="1:18" x14ac:dyDescent="0.25">
      <c r="A231" s="175" t="s">
        <v>292</v>
      </c>
      <c r="B231" s="150" t="s">
        <v>293</v>
      </c>
      <c r="C231" s="150" t="s">
        <v>1</v>
      </c>
      <c r="D231" s="150" t="s">
        <v>2</v>
      </c>
      <c r="E231" s="150" t="s">
        <v>310</v>
      </c>
      <c r="F231" s="150"/>
      <c r="G231" s="150"/>
      <c r="H231" s="150"/>
      <c r="I231" s="221" t="s">
        <v>464</v>
      </c>
      <c r="J231" s="30"/>
      <c r="K231" s="30"/>
      <c r="L231" s="30"/>
      <c r="M231" s="30"/>
      <c r="N231" s="42"/>
      <c r="R231" s="125"/>
    </row>
    <row r="232" spans="1:18" x14ac:dyDescent="0.25">
      <c r="A232" s="175"/>
      <c r="B232" s="150"/>
      <c r="C232" s="150"/>
      <c r="D232" s="150"/>
      <c r="E232" s="30" t="s">
        <v>292</v>
      </c>
      <c r="F232" s="30" t="s">
        <v>293</v>
      </c>
      <c r="G232" s="30" t="s">
        <v>1</v>
      </c>
      <c r="H232" s="30" t="s">
        <v>2</v>
      </c>
      <c r="I232" s="222"/>
      <c r="J232" s="30"/>
      <c r="K232" s="30"/>
      <c r="L232" s="30"/>
      <c r="M232" s="30"/>
      <c r="N232" s="42"/>
      <c r="R232" s="125"/>
    </row>
    <row r="233" spans="1:18" x14ac:dyDescent="0.25">
      <c r="A233" s="39" t="s">
        <v>557</v>
      </c>
      <c r="B233" s="5" t="s">
        <v>485</v>
      </c>
      <c r="C233" s="29">
        <v>-9.3000000000000007</v>
      </c>
      <c r="D233" s="29">
        <v>-64.7</v>
      </c>
      <c r="E233" s="6"/>
      <c r="F233" s="6"/>
      <c r="G233" s="6"/>
      <c r="H233" s="6"/>
      <c r="I233" s="122">
        <v>0.48699999999999999</v>
      </c>
      <c r="J233" s="35"/>
      <c r="K233" s="35"/>
      <c r="L233" s="35"/>
      <c r="M233" s="35"/>
      <c r="N233" s="46"/>
      <c r="R233" s="125"/>
    </row>
    <row r="234" spans="1:18" x14ac:dyDescent="0.25">
      <c r="A234" s="40" t="s">
        <v>558</v>
      </c>
      <c r="B234" s="3" t="s">
        <v>551</v>
      </c>
      <c r="C234" s="115">
        <v>-14.59</v>
      </c>
      <c r="D234" s="115">
        <v>-67.53</v>
      </c>
      <c r="E234" s="7"/>
      <c r="F234" s="7"/>
      <c r="G234" s="7"/>
      <c r="H234" s="7"/>
      <c r="I234" s="123">
        <v>0.34499999999999997</v>
      </c>
      <c r="J234" s="34"/>
      <c r="K234" s="34"/>
      <c r="L234" s="34"/>
      <c r="M234" s="34"/>
      <c r="N234" s="45"/>
      <c r="R234" s="125"/>
    </row>
    <row r="235" spans="1:18" x14ac:dyDescent="0.25">
      <c r="A235" s="39" t="s">
        <v>559</v>
      </c>
      <c r="B235" s="5" t="s">
        <v>552</v>
      </c>
      <c r="C235" s="29">
        <v>-9.9</v>
      </c>
      <c r="D235" s="29">
        <v>-66.62</v>
      </c>
      <c r="E235" s="6"/>
      <c r="F235" s="6"/>
      <c r="G235" s="6"/>
      <c r="H235" s="6"/>
      <c r="I235" s="122">
        <v>0.16800000000000001</v>
      </c>
      <c r="J235" s="35"/>
      <c r="K235" s="35"/>
      <c r="L235" s="35"/>
      <c r="M235" s="35"/>
      <c r="N235" s="46"/>
      <c r="R235" s="125"/>
    </row>
    <row r="236" spans="1:18" x14ac:dyDescent="0.25">
      <c r="A236" s="171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72"/>
    </row>
    <row r="237" spans="1:18" ht="18.75" x14ac:dyDescent="0.25">
      <c r="A237" s="173" t="s">
        <v>311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74"/>
    </row>
    <row r="238" spans="1:18" ht="15" customHeight="1" x14ac:dyDescent="0.25">
      <c r="A238" s="175" t="s">
        <v>292</v>
      </c>
      <c r="B238" s="150" t="s">
        <v>293</v>
      </c>
      <c r="C238" s="225" t="s">
        <v>312</v>
      </c>
      <c r="D238" s="226"/>
      <c r="E238" s="225" t="s">
        <v>569</v>
      </c>
      <c r="F238" s="226"/>
      <c r="G238" s="225" t="s">
        <v>570</v>
      </c>
      <c r="H238" s="226"/>
      <c r="I238" s="225" t="s">
        <v>313</v>
      </c>
      <c r="J238" s="226"/>
      <c r="K238" s="157" t="s">
        <v>568</v>
      </c>
      <c r="L238" s="158"/>
      <c r="M238" s="158"/>
      <c r="N238" s="176"/>
    </row>
    <row r="239" spans="1:18" x14ac:dyDescent="0.25">
      <c r="A239" s="175"/>
      <c r="B239" s="150"/>
      <c r="C239" s="227"/>
      <c r="D239" s="228"/>
      <c r="E239" s="227"/>
      <c r="F239" s="228"/>
      <c r="G239" s="227"/>
      <c r="H239" s="228"/>
      <c r="I239" s="227"/>
      <c r="J239" s="228"/>
      <c r="K239" s="30" t="s">
        <v>564</v>
      </c>
      <c r="L239" s="30" t="s">
        <v>565</v>
      </c>
      <c r="M239" s="30" t="s">
        <v>566</v>
      </c>
      <c r="N239" s="42" t="s">
        <v>567</v>
      </c>
    </row>
    <row r="240" spans="1:18" x14ac:dyDescent="0.25">
      <c r="A240" s="87">
        <v>15200010</v>
      </c>
      <c r="B240" s="5" t="s">
        <v>160</v>
      </c>
      <c r="C240" s="235" t="s">
        <v>485</v>
      </c>
      <c r="D240" s="235"/>
      <c r="E240" s="235" t="s">
        <v>571</v>
      </c>
      <c r="F240" s="235"/>
      <c r="G240" s="235" t="str">
        <f>B241</f>
        <v>Guajará-mirim</v>
      </c>
      <c r="H240" s="235"/>
      <c r="I240" s="224">
        <v>56</v>
      </c>
      <c r="J240" s="224"/>
      <c r="K240" s="35">
        <v>2.0819999999999999</v>
      </c>
      <c r="L240" s="35">
        <v>0.17599999999999999</v>
      </c>
      <c r="M240" s="35">
        <v>2</v>
      </c>
      <c r="N240" s="46">
        <v>1</v>
      </c>
    </row>
    <row r="241" spans="1:17" x14ac:dyDescent="0.25">
      <c r="A241" s="40">
        <v>15250001</v>
      </c>
      <c r="B241" s="129" t="s">
        <v>486</v>
      </c>
      <c r="C241" s="236" t="s">
        <v>485</v>
      </c>
      <c r="D241" s="236"/>
      <c r="E241" s="236" t="str">
        <f>B240</f>
        <v>Príncipe da Beira</v>
      </c>
      <c r="F241" s="236"/>
      <c r="G241" s="234" t="str">
        <f>C240</f>
        <v>Jirau</v>
      </c>
      <c r="H241" s="234"/>
      <c r="I241" s="203">
        <v>14</v>
      </c>
      <c r="J241" s="203"/>
      <c r="K241" s="34">
        <v>1.002</v>
      </c>
      <c r="L241" s="34">
        <v>2E-3</v>
      </c>
      <c r="M241" s="34">
        <v>2</v>
      </c>
      <c r="N241" s="45">
        <v>1</v>
      </c>
    </row>
    <row r="242" spans="1:17" ht="15.75" thickBot="1" x14ac:dyDescent="0.3">
      <c r="A242" s="49">
        <v>15299999</v>
      </c>
      <c r="B242" s="50" t="s">
        <v>158</v>
      </c>
      <c r="C242" s="233" t="s">
        <v>485</v>
      </c>
      <c r="D242" s="233"/>
      <c r="E242" s="233" t="s">
        <v>571</v>
      </c>
      <c r="F242" s="233"/>
      <c r="G242" s="233" t="str">
        <f>C242</f>
        <v>Jirau</v>
      </c>
      <c r="H242" s="233"/>
      <c r="I242" s="223">
        <v>135</v>
      </c>
      <c r="J242" s="223"/>
      <c r="K242" s="51">
        <v>4.9359999999999999</v>
      </c>
      <c r="L242" s="51">
        <v>0.16500000000000001</v>
      </c>
      <c r="M242" s="51">
        <v>7</v>
      </c>
      <c r="N242" s="52">
        <v>1</v>
      </c>
      <c r="O242" s="128"/>
    </row>
    <row r="243" spans="1:17" ht="16.5" thickTop="1" thickBot="1" x14ac:dyDescent="0.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</row>
    <row r="244" spans="1:17" ht="19.5" thickTop="1" x14ac:dyDescent="0.25">
      <c r="A244" s="178" t="s">
        <v>487</v>
      </c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80"/>
      <c r="O244" s="128"/>
    </row>
    <row r="245" spans="1:17" x14ac:dyDescent="0.25">
      <c r="A245" s="171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72"/>
    </row>
    <row r="246" spans="1:17" ht="18.75" x14ac:dyDescent="0.25">
      <c r="A246" s="173" t="s">
        <v>291</v>
      </c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74"/>
    </row>
    <row r="247" spans="1:17" x14ac:dyDescent="0.25">
      <c r="A247" s="175" t="s">
        <v>292</v>
      </c>
      <c r="B247" s="150" t="s">
        <v>293</v>
      </c>
      <c r="C247" s="157" t="s">
        <v>294</v>
      </c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76"/>
    </row>
    <row r="248" spans="1:17" x14ac:dyDescent="0.25">
      <c r="A248" s="175"/>
      <c r="B248" s="150"/>
      <c r="C248" s="30" t="s">
        <v>295</v>
      </c>
      <c r="D248" s="30" t="s">
        <v>296</v>
      </c>
      <c r="E248" s="30" t="s">
        <v>297</v>
      </c>
      <c r="F248" s="30" t="s">
        <v>298</v>
      </c>
      <c r="G248" s="30" t="s">
        <v>299</v>
      </c>
      <c r="H248" s="30" t="s">
        <v>300</v>
      </c>
      <c r="I248" s="30" t="s">
        <v>301</v>
      </c>
      <c r="J248" s="30" t="s">
        <v>302</v>
      </c>
      <c r="K248" s="30" t="s">
        <v>303</v>
      </c>
      <c r="L248" s="30" t="s">
        <v>304</v>
      </c>
      <c r="M248" s="30" t="s">
        <v>305</v>
      </c>
      <c r="N248" s="42" t="s">
        <v>306</v>
      </c>
    </row>
    <row r="249" spans="1:17" x14ac:dyDescent="0.25">
      <c r="A249" s="38">
        <v>287</v>
      </c>
      <c r="B249" s="5" t="s">
        <v>161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46"/>
    </row>
    <row r="250" spans="1:17" x14ac:dyDescent="0.25">
      <c r="A250" s="171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72"/>
      <c r="Q250" s="125"/>
    </row>
    <row r="251" spans="1:17" x14ac:dyDescent="0.25">
      <c r="A251" s="175" t="s">
        <v>292</v>
      </c>
      <c r="B251" s="150" t="s">
        <v>293</v>
      </c>
      <c r="C251" s="157" t="s">
        <v>308</v>
      </c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76"/>
      <c r="Q251" s="125"/>
    </row>
    <row r="252" spans="1:17" x14ac:dyDescent="0.25">
      <c r="A252" s="175"/>
      <c r="B252" s="150"/>
      <c r="C252" s="30" t="s">
        <v>295</v>
      </c>
      <c r="D252" s="30" t="s">
        <v>296</v>
      </c>
      <c r="E252" s="30" t="s">
        <v>297</v>
      </c>
      <c r="F252" s="30" t="s">
        <v>298</v>
      </c>
      <c r="G252" s="30" t="s">
        <v>299</v>
      </c>
      <c r="H252" s="30" t="s">
        <v>300</v>
      </c>
      <c r="I252" s="30" t="s">
        <v>301</v>
      </c>
      <c r="J252" s="30" t="s">
        <v>302</v>
      </c>
      <c r="K252" s="30" t="s">
        <v>303</v>
      </c>
      <c r="L252" s="30" t="s">
        <v>304</v>
      </c>
      <c r="M252" s="30" t="s">
        <v>305</v>
      </c>
      <c r="N252" s="42" t="s">
        <v>306</v>
      </c>
      <c r="Q252" s="125"/>
    </row>
    <row r="253" spans="1:17" x14ac:dyDescent="0.25">
      <c r="A253" s="38">
        <v>287</v>
      </c>
      <c r="B253" s="5" t="s">
        <v>161</v>
      </c>
      <c r="C253" s="29">
        <v>4.04</v>
      </c>
      <c r="D253" s="29">
        <v>4</v>
      </c>
      <c r="E253" s="29">
        <v>3.93</v>
      </c>
      <c r="F253" s="29">
        <v>3.77</v>
      </c>
      <c r="G253" s="29">
        <v>3.54</v>
      </c>
      <c r="H253" s="29">
        <v>3.69</v>
      </c>
      <c r="I253" s="29">
        <v>4.2699999999999996</v>
      </c>
      <c r="J253" s="29">
        <v>4.83</v>
      </c>
      <c r="K253" s="29">
        <v>4.8600000000000003</v>
      </c>
      <c r="L253" s="29">
        <v>4.72</v>
      </c>
      <c r="M253" s="29">
        <v>4.33</v>
      </c>
      <c r="N253" s="44">
        <v>4.08</v>
      </c>
      <c r="Q253" s="125"/>
    </row>
    <row r="254" spans="1:17" x14ac:dyDescent="0.25">
      <c r="A254" s="171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72"/>
      <c r="Q254" s="125"/>
    </row>
    <row r="255" spans="1:17" ht="18.75" x14ac:dyDescent="0.25">
      <c r="A255" s="173" t="s">
        <v>309</v>
      </c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74"/>
      <c r="Q255" s="125"/>
    </row>
    <row r="256" spans="1:17" x14ac:dyDescent="0.25">
      <c r="A256" s="175" t="s">
        <v>292</v>
      </c>
      <c r="B256" s="150" t="s">
        <v>293</v>
      </c>
      <c r="C256" s="150" t="s">
        <v>1</v>
      </c>
      <c r="D256" s="150" t="s">
        <v>2</v>
      </c>
      <c r="E256" s="150" t="s">
        <v>310</v>
      </c>
      <c r="F256" s="150"/>
      <c r="G256" s="150"/>
      <c r="H256" s="150"/>
      <c r="I256" s="30"/>
      <c r="J256" s="30"/>
      <c r="K256" s="30"/>
      <c r="L256" s="30"/>
      <c r="M256" s="30"/>
      <c r="N256" s="42"/>
      <c r="Q256" s="125"/>
    </row>
    <row r="257" spans="1:17" x14ac:dyDescent="0.25">
      <c r="A257" s="175"/>
      <c r="B257" s="150"/>
      <c r="C257" s="150"/>
      <c r="D257" s="150"/>
      <c r="E257" s="30" t="s">
        <v>292</v>
      </c>
      <c r="F257" s="30" t="s">
        <v>293</v>
      </c>
      <c r="G257" s="30" t="s">
        <v>1</v>
      </c>
      <c r="H257" s="30" t="s">
        <v>2</v>
      </c>
      <c r="I257" s="30"/>
      <c r="J257" s="30"/>
      <c r="K257" s="30"/>
      <c r="L257" s="30"/>
      <c r="M257" s="30"/>
      <c r="N257" s="42"/>
      <c r="Q257" s="125"/>
    </row>
    <row r="258" spans="1:17" x14ac:dyDescent="0.25">
      <c r="A258" s="39" t="s">
        <v>562</v>
      </c>
      <c r="B258" s="5" t="s">
        <v>488</v>
      </c>
      <c r="C258" s="29">
        <v>-8.7899999999999991</v>
      </c>
      <c r="D258" s="29">
        <v>-63.95</v>
      </c>
      <c r="E258" s="6"/>
      <c r="F258" s="6"/>
      <c r="G258" s="6"/>
      <c r="H258" s="6"/>
      <c r="I258" s="35"/>
      <c r="J258" s="35"/>
      <c r="K258" s="35"/>
      <c r="L258" s="35"/>
      <c r="M258" s="35"/>
      <c r="N258" s="46"/>
      <c r="Q258" s="125"/>
    </row>
    <row r="259" spans="1:17" x14ac:dyDescent="0.25">
      <c r="A259" s="171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72"/>
      <c r="Q259" s="125"/>
    </row>
    <row r="260" spans="1:17" ht="18.75" x14ac:dyDescent="0.25">
      <c r="A260" s="173" t="s">
        <v>311</v>
      </c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74"/>
      <c r="Q260" s="125"/>
    </row>
    <row r="261" spans="1:17" x14ac:dyDescent="0.25">
      <c r="A261" s="175" t="s">
        <v>292</v>
      </c>
      <c r="B261" s="150" t="s">
        <v>293</v>
      </c>
      <c r="C261" s="151" t="s">
        <v>312</v>
      </c>
      <c r="D261" s="152"/>
      <c r="E261" s="152"/>
      <c r="F261" s="153"/>
      <c r="G261" s="151" t="s">
        <v>313</v>
      </c>
      <c r="H261" s="152"/>
      <c r="I261" s="152"/>
      <c r="J261" s="153"/>
      <c r="K261" s="30"/>
      <c r="L261" s="30"/>
      <c r="M261" s="30"/>
      <c r="N261" s="42"/>
      <c r="Q261" s="125"/>
    </row>
    <row r="262" spans="1:17" x14ac:dyDescent="0.25">
      <c r="A262" s="175"/>
      <c r="B262" s="150"/>
      <c r="C262" s="154"/>
      <c r="D262" s="155"/>
      <c r="E262" s="155"/>
      <c r="F262" s="156"/>
      <c r="G262" s="154"/>
      <c r="H262" s="155"/>
      <c r="I262" s="155"/>
      <c r="J262" s="156"/>
      <c r="K262" s="30"/>
      <c r="L262" s="30"/>
      <c r="M262" s="30"/>
      <c r="N262" s="42"/>
    </row>
    <row r="263" spans="1:17" ht="15.75" thickBot="1" x14ac:dyDescent="0.3">
      <c r="A263" s="49"/>
      <c r="B263" s="50"/>
      <c r="C263" s="177"/>
      <c r="D263" s="177"/>
      <c r="E263" s="177"/>
      <c r="F263" s="177"/>
      <c r="G263" s="177"/>
      <c r="H263" s="177"/>
      <c r="I263" s="177"/>
      <c r="J263" s="177"/>
      <c r="K263" s="51"/>
      <c r="L263" s="51"/>
      <c r="M263" s="51"/>
      <c r="N263" s="52"/>
    </row>
    <row r="264" spans="1:17" ht="16.5" thickTop="1" thickBot="1" x14ac:dyDescent="0.3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</row>
    <row r="265" spans="1:17" ht="19.5" thickTop="1" x14ac:dyDescent="0.25">
      <c r="A265" s="178" t="s">
        <v>489</v>
      </c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80"/>
    </row>
    <row r="266" spans="1:17" x14ac:dyDescent="0.25">
      <c r="A266" s="171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72"/>
    </row>
    <row r="267" spans="1:17" ht="18.75" x14ac:dyDescent="0.25">
      <c r="A267" s="173" t="s">
        <v>291</v>
      </c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74"/>
    </row>
    <row r="268" spans="1:17" x14ac:dyDescent="0.25">
      <c r="A268" s="175" t="s">
        <v>292</v>
      </c>
      <c r="B268" s="150" t="s">
        <v>293</v>
      </c>
      <c r="C268" s="157" t="s">
        <v>294</v>
      </c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76"/>
    </row>
    <row r="269" spans="1:17" x14ac:dyDescent="0.25">
      <c r="A269" s="175"/>
      <c r="B269" s="150"/>
      <c r="C269" s="30" t="s">
        <v>295</v>
      </c>
      <c r="D269" s="30" t="s">
        <v>296</v>
      </c>
      <c r="E269" s="30" t="s">
        <v>297</v>
      </c>
      <c r="F269" s="30" t="s">
        <v>298</v>
      </c>
      <c r="G269" s="30" t="s">
        <v>299</v>
      </c>
      <c r="H269" s="30" t="s">
        <v>300</v>
      </c>
      <c r="I269" s="30" t="s">
        <v>301</v>
      </c>
      <c r="J269" s="30" t="s">
        <v>302</v>
      </c>
      <c r="K269" s="30" t="s">
        <v>303</v>
      </c>
      <c r="L269" s="30" t="s">
        <v>304</v>
      </c>
      <c r="M269" s="30" t="s">
        <v>305</v>
      </c>
      <c r="N269" s="42" t="s">
        <v>306</v>
      </c>
    </row>
    <row r="270" spans="1:17" x14ac:dyDescent="0.25">
      <c r="A270" s="38">
        <v>296</v>
      </c>
      <c r="B270" s="5" t="s">
        <v>165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46"/>
    </row>
    <row r="271" spans="1:17" x14ac:dyDescent="0.25">
      <c r="A271" s="171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72"/>
    </row>
    <row r="272" spans="1:17" x14ac:dyDescent="0.25">
      <c r="A272" s="175" t="s">
        <v>292</v>
      </c>
      <c r="B272" s="150" t="s">
        <v>293</v>
      </c>
      <c r="C272" s="157" t="s">
        <v>308</v>
      </c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76"/>
    </row>
    <row r="273" spans="1:14" x14ac:dyDescent="0.25">
      <c r="A273" s="175"/>
      <c r="B273" s="150"/>
      <c r="C273" s="30" t="s">
        <v>295</v>
      </c>
      <c r="D273" s="30" t="s">
        <v>296</v>
      </c>
      <c r="E273" s="30" t="s">
        <v>297</v>
      </c>
      <c r="F273" s="30" t="s">
        <v>298</v>
      </c>
      <c r="G273" s="30" t="s">
        <v>299</v>
      </c>
      <c r="H273" s="30" t="s">
        <v>300</v>
      </c>
      <c r="I273" s="30" t="s">
        <v>301</v>
      </c>
      <c r="J273" s="30" t="s">
        <v>302</v>
      </c>
      <c r="K273" s="30" t="s">
        <v>303</v>
      </c>
      <c r="L273" s="30" t="s">
        <v>304</v>
      </c>
      <c r="M273" s="30" t="s">
        <v>305</v>
      </c>
      <c r="N273" s="42" t="s">
        <v>306</v>
      </c>
    </row>
    <row r="274" spans="1:14" x14ac:dyDescent="0.25">
      <c r="A274" s="38">
        <v>296</v>
      </c>
      <c r="B274" s="5" t="s">
        <v>165</v>
      </c>
      <c r="C274" s="29">
        <v>4.71</v>
      </c>
      <c r="D274" s="29">
        <v>4.82</v>
      </c>
      <c r="E274" s="29">
        <v>4.45</v>
      </c>
      <c r="F274" s="29">
        <v>4.47</v>
      </c>
      <c r="G274" s="29">
        <v>3.87</v>
      </c>
      <c r="H274" s="29">
        <v>3.87</v>
      </c>
      <c r="I274" s="29">
        <v>4.5199999999999996</v>
      </c>
      <c r="J274" s="29">
        <v>5.03</v>
      </c>
      <c r="K274" s="29">
        <v>5.2</v>
      </c>
      <c r="L274" s="29">
        <v>5.45</v>
      </c>
      <c r="M274" s="29">
        <v>4.97</v>
      </c>
      <c r="N274" s="44">
        <v>5.03</v>
      </c>
    </row>
    <row r="275" spans="1:14" x14ac:dyDescent="0.25">
      <c r="A275" s="171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72"/>
    </row>
    <row r="276" spans="1:14" ht="18.75" x14ac:dyDescent="0.25">
      <c r="A276" s="173" t="s">
        <v>309</v>
      </c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74"/>
    </row>
    <row r="277" spans="1:14" x14ac:dyDescent="0.25">
      <c r="A277" s="175" t="s">
        <v>292</v>
      </c>
      <c r="B277" s="150" t="s">
        <v>293</v>
      </c>
      <c r="C277" s="150" t="s">
        <v>1</v>
      </c>
      <c r="D277" s="150" t="s">
        <v>2</v>
      </c>
      <c r="E277" s="150" t="s">
        <v>310</v>
      </c>
      <c r="F277" s="150"/>
      <c r="G277" s="150"/>
      <c r="H277" s="150"/>
      <c r="I277" s="30"/>
      <c r="J277" s="30"/>
      <c r="K277" s="30"/>
      <c r="L277" s="30"/>
      <c r="M277" s="30"/>
      <c r="N277" s="42"/>
    </row>
    <row r="278" spans="1:14" x14ac:dyDescent="0.25">
      <c r="A278" s="175"/>
      <c r="B278" s="150"/>
      <c r="C278" s="150"/>
      <c r="D278" s="150"/>
      <c r="E278" s="30" t="s">
        <v>292</v>
      </c>
      <c r="F278" s="30" t="s">
        <v>293</v>
      </c>
      <c r="G278" s="30" t="s">
        <v>1</v>
      </c>
      <c r="H278" s="30" t="s">
        <v>2</v>
      </c>
      <c r="I278" s="30"/>
      <c r="J278" s="30"/>
      <c r="K278" s="30"/>
      <c r="L278" s="30"/>
      <c r="M278" s="30"/>
      <c r="N278" s="42"/>
    </row>
    <row r="279" spans="1:14" x14ac:dyDescent="0.25">
      <c r="A279" s="39" t="s">
        <v>164</v>
      </c>
      <c r="B279" s="5" t="s">
        <v>165</v>
      </c>
      <c r="C279" s="29">
        <v>-15.12</v>
      </c>
      <c r="D279" s="29">
        <v>-58.96</v>
      </c>
      <c r="E279" s="6"/>
      <c r="F279" s="6"/>
      <c r="G279" s="6"/>
      <c r="H279" s="6"/>
      <c r="I279" s="35"/>
      <c r="J279" s="35"/>
      <c r="K279" s="35"/>
      <c r="L279" s="35"/>
      <c r="M279" s="35"/>
      <c r="N279" s="46"/>
    </row>
    <row r="280" spans="1:14" x14ac:dyDescent="0.25">
      <c r="A280" s="171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72"/>
    </row>
    <row r="281" spans="1:14" ht="18.75" x14ac:dyDescent="0.25">
      <c r="A281" s="173" t="s">
        <v>311</v>
      </c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74"/>
    </row>
    <row r="282" spans="1:14" x14ac:dyDescent="0.25">
      <c r="A282" s="175" t="s">
        <v>292</v>
      </c>
      <c r="B282" s="150" t="s">
        <v>293</v>
      </c>
      <c r="C282" s="151" t="s">
        <v>312</v>
      </c>
      <c r="D282" s="152"/>
      <c r="E282" s="152"/>
      <c r="F282" s="153"/>
      <c r="G282" s="151" t="s">
        <v>313</v>
      </c>
      <c r="H282" s="152"/>
      <c r="I282" s="152"/>
      <c r="J282" s="153"/>
      <c r="K282" s="30"/>
      <c r="L282" s="30"/>
      <c r="M282" s="30"/>
      <c r="N282" s="42"/>
    </row>
    <row r="283" spans="1:14" x14ac:dyDescent="0.25">
      <c r="A283" s="175"/>
      <c r="B283" s="150"/>
      <c r="C283" s="154"/>
      <c r="D283" s="155"/>
      <c r="E283" s="155"/>
      <c r="F283" s="156"/>
      <c r="G283" s="154"/>
      <c r="H283" s="155"/>
      <c r="I283" s="155"/>
      <c r="J283" s="156"/>
      <c r="K283" s="30"/>
      <c r="L283" s="30"/>
      <c r="M283" s="30"/>
      <c r="N283" s="42"/>
    </row>
    <row r="284" spans="1:14" ht="15.75" thickBot="1" x14ac:dyDescent="0.3">
      <c r="A284" s="49"/>
      <c r="B284" s="50"/>
      <c r="C284" s="177"/>
      <c r="D284" s="177"/>
      <c r="E284" s="177"/>
      <c r="F284" s="177"/>
      <c r="G284" s="177"/>
      <c r="H284" s="177"/>
      <c r="I284" s="177"/>
      <c r="J284" s="177"/>
      <c r="K284" s="51"/>
      <c r="L284" s="51"/>
      <c r="M284" s="51"/>
      <c r="N284" s="52"/>
    </row>
    <row r="285" spans="1:14" ht="16.5" thickTop="1" thickBot="1" x14ac:dyDescent="0.3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</row>
    <row r="286" spans="1:14" ht="19.5" thickTop="1" x14ac:dyDescent="0.25">
      <c r="A286" s="178" t="s">
        <v>490</v>
      </c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80"/>
    </row>
    <row r="287" spans="1:14" x14ac:dyDescent="0.25">
      <c r="A287" s="171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72"/>
    </row>
    <row r="288" spans="1:14" ht="18.75" x14ac:dyDescent="0.25">
      <c r="A288" s="173" t="s">
        <v>291</v>
      </c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74"/>
    </row>
    <row r="289" spans="1:14" x14ac:dyDescent="0.25">
      <c r="A289" s="175" t="s">
        <v>292</v>
      </c>
      <c r="B289" s="150" t="s">
        <v>293</v>
      </c>
      <c r="C289" s="157" t="s">
        <v>294</v>
      </c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76"/>
    </row>
    <row r="290" spans="1:14" x14ac:dyDescent="0.25">
      <c r="A290" s="175"/>
      <c r="B290" s="150"/>
      <c r="C290" s="30" t="s">
        <v>295</v>
      </c>
      <c r="D290" s="30" t="s">
        <v>296</v>
      </c>
      <c r="E290" s="30" t="s">
        <v>297</v>
      </c>
      <c r="F290" s="30" t="s">
        <v>298</v>
      </c>
      <c r="G290" s="30" t="s">
        <v>299</v>
      </c>
      <c r="H290" s="30" t="s">
        <v>300</v>
      </c>
      <c r="I290" s="30" t="s">
        <v>301</v>
      </c>
      <c r="J290" s="30" t="s">
        <v>302</v>
      </c>
      <c r="K290" s="30" t="s">
        <v>303</v>
      </c>
      <c r="L290" s="30" t="s">
        <v>304</v>
      </c>
      <c r="M290" s="30" t="s">
        <v>305</v>
      </c>
      <c r="N290" s="42" t="s">
        <v>306</v>
      </c>
    </row>
    <row r="291" spans="1:14" x14ac:dyDescent="0.25">
      <c r="A291" s="38">
        <v>291</v>
      </c>
      <c r="B291" s="5" t="s">
        <v>163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46"/>
    </row>
    <row r="292" spans="1:14" x14ac:dyDescent="0.25">
      <c r="A292" s="171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72"/>
    </row>
    <row r="293" spans="1:14" x14ac:dyDescent="0.25">
      <c r="A293" s="175" t="s">
        <v>292</v>
      </c>
      <c r="B293" s="150" t="s">
        <v>293</v>
      </c>
      <c r="C293" s="157" t="s">
        <v>308</v>
      </c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76"/>
    </row>
    <row r="294" spans="1:14" x14ac:dyDescent="0.25">
      <c r="A294" s="175"/>
      <c r="B294" s="150"/>
      <c r="C294" s="30" t="s">
        <v>295</v>
      </c>
      <c r="D294" s="30" t="s">
        <v>296</v>
      </c>
      <c r="E294" s="30" t="s">
        <v>297</v>
      </c>
      <c r="F294" s="30" t="s">
        <v>298</v>
      </c>
      <c r="G294" s="30" t="s">
        <v>299</v>
      </c>
      <c r="H294" s="30" t="s">
        <v>300</v>
      </c>
      <c r="I294" s="30" t="s">
        <v>301</v>
      </c>
      <c r="J294" s="30" t="s">
        <v>302</v>
      </c>
      <c r="K294" s="30" t="s">
        <v>303</v>
      </c>
      <c r="L294" s="30" t="s">
        <v>304</v>
      </c>
      <c r="M294" s="30" t="s">
        <v>305</v>
      </c>
      <c r="N294" s="42" t="s">
        <v>306</v>
      </c>
    </row>
    <row r="295" spans="1:14" x14ac:dyDescent="0.25">
      <c r="A295" s="38">
        <v>291</v>
      </c>
      <c r="B295" s="5" t="s">
        <v>163</v>
      </c>
      <c r="C295" s="29">
        <v>3.77</v>
      </c>
      <c r="D295" s="29">
        <v>4.1100000000000003</v>
      </c>
      <c r="E295" s="29">
        <v>4.16</v>
      </c>
      <c r="F295" s="29">
        <v>3.97</v>
      </c>
      <c r="G295" s="29">
        <v>3.61</v>
      </c>
      <c r="H295" s="29">
        <v>2.93</v>
      </c>
      <c r="I295" s="29">
        <v>3.13</v>
      </c>
      <c r="J295" s="29">
        <v>3.61</v>
      </c>
      <c r="K295" s="29">
        <v>4</v>
      </c>
      <c r="L295" s="29">
        <v>4.1900000000000004</v>
      </c>
      <c r="M295" s="29">
        <v>4.2</v>
      </c>
      <c r="N295" s="44">
        <v>4.16</v>
      </c>
    </row>
    <row r="296" spans="1:14" x14ac:dyDescent="0.25">
      <c r="A296" s="171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72"/>
    </row>
    <row r="297" spans="1:14" ht="18.75" x14ac:dyDescent="0.25">
      <c r="A297" s="173" t="s">
        <v>309</v>
      </c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74"/>
    </row>
    <row r="298" spans="1:14" x14ac:dyDescent="0.25">
      <c r="A298" s="175" t="s">
        <v>292</v>
      </c>
      <c r="B298" s="150" t="s">
        <v>293</v>
      </c>
      <c r="C298" s="150" t="s">
        <v>1</v>
      </c>
      <c r="D298" s="150" t="s">
        <v>2</v>
      </c>
      <c r="E298" s="150" t="s">
        <v>310</v>
      </c>
      <c r="F298" s="150"/>
      <c r="G298" s="150"/>
      <c r="H298" s="150"/>
      <c r="I298" s="30"/>
      <c r="J298" s="30"/>
      <c r="K298" s="30"/>
      <c r="L298" s="30"/>
      <c r="M298" s="30"/>
      <c r="N298" s="42"/>
    </row>
    <row r="299" spans="1:14" x14ac:dyDescent="0.25">
      <c r="A299" s="175"/>
      <c r="B299" s="150"/>
      <c r="C299" s="150"/>
      <c r="D299" s="150"/>
      <c r="E299" s="30" t="s">
        <v>292</v>
      </c>
      <c r="F299" s="30" t="s">
        <v>293</v>
      </c>
      <c r="G299" s="30" t="s">
        <v>1</v>
      </c>
      <c r="H299" s="30" t="s">
        <v>2</v>
      </c>
      <c r="I299" s="30"/>
      <c r="J299" s="30"/>
      <c r="K299" s="30"/>
      <c r="L299" s="30"/>
      <c r="M299" s="30"/>
      <c r="N299" s="42"/>
    </row>
    <row r="300" spans="1:14" x14ac:dyDescent="0.25">
      <c r="A300" s="39" t="s">
        <v>162</v>
      </c>
      <c r="B300" s="5" t="s">
        <v>163</v>
      </c>
      <c r="C300" s="29">
        <v>-10.16</v>
      </c>
      <c r="D300" s="29">
        <v>-59.46</v>
      </c>
      <c r="E300" s="6"/>
      <c r="F300" s="6"/>
      <c r="G300" s="6"/>
      <c r="H300" s="6"/>
      <c r="I300" s="35"/>
      <c r="J300" s="35"/>
      <c r="K300" s="35"/>
      <c r="L300" s="35"/>
      <c r="M300" s="35"/>
      <c r="N300" s="46"/>
    </row>
    <row r="301" spans="1:14" x14ac:dyDescent="0.25">
      <c r="A301" s="171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72"/>
    </row>
    <row r="302" spans="1:14" ht="18.75" x14ac:dyDescent="0.25">
      <c r="A302" s="173" t="s">
        <v>311</v>
      </c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74"/>
    </row>
    <row r="303" spans="1:14" x14ac:dyDescent="0.25">
      <c r="A303" s="175" t="s">
        <v>292</v>
      </c>
      <c r="B303" s="150" t="s">
        <v>293</v>
      </c>
      <c r="C303" s="151" t="s">
        <v>312</v>
      </c>
      <c r="D303" s="152"/>
      <c r="E303" s="152"/>
      <c r="F303" s="153"/>
      <c r="G303" s="151" t="s">
        <v>313</v>
      </c>
      <c r="H303" s="152"/>
      <c r="I303" s="152"/>
      <c r="J303" s="153"/>
      <c r="K303" s="30"/>
      <c r="L303" s="30"/>
      <c r="M303" s="30"/>
      <c r="N303" s="42"/>
    </row>
    <row r="304" spans="1:14" x14ac:dyDescent="0.25">
      <c r="A304" s="175"/>
      <c r="B304" s="150"/>
      <c r="C304" s="154"/>
      <c r="D304" s="155"/>
      <c r="E304" s="155"/>
      <c r="F304" s="156"/>
      <c r="G304" s="154"/>
      <c r="H304" s="155"/>
      <c r="I304" s="155"/>
      <c r="J304" s="156"/>
      <c r="K304" s="30"/>
      <c r="L304" s="30"/>
      <c r="M304" s="30"/>
      <c r="N304" s="42"/>
    </row>
    <row r="305" spans="1:14" ht="15.75" thickBot="1" x14ac:dyDescent="0.3">
      <c r="A305" s="49"/>
      <c r="B305" s="50"/>
      <c r="C305" s="177"/>
      <c r="D305" s="177"/>
      <c r="E305" s="177"/>
      <c r="F305" s="177"/>
      <c r="G305" s="177"/>
      <c r="H305" s="177"/>
      <c r="I305" s="177"/>
      <c r="J305" s="177"/>
      <c r="K305" s="51"/>
      <c r="L305" s="51"/>
      <c r="M305" s="51"/>
      <c r="N305" s="52"/>
    </row>
    <row r="306" spans="1:14" ht="16.5" thickTop="1" thickBot="1" x14ac:dyDescent="0.3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</row>
    <row r="307" spans="1:14" ht="19.5" thickTop="1" x14ac:dyDescent="0.25">
      <c r="A307" s="178" t="s">
        <v>491</v>
      </c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80"/>
    </row>
    <row r="308" spans="1:14" x14ac:dyDescent="0.25">
      <c r="A308" s="171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72"/>
    </row>
    <row r="309" spans="1:14" ht="18.75" x14ac:dyDescent="0.25">
      <c r="A309" s="173" t="s">
        <v>291</v>
      </c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74"/>
    </row>
    <row r="310" spans="1:14" x14ac:dyDescent="0.25">
      <c r="A310" s="175" t="s">
        <v>292</v>
      </c>
      <c r="B310" s="150" t="s">
        <v>293</v>
      </c>
      <c r="C310" s="157" t="s">
        <v>294</v>
      </c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76"/>
    </row>
    <row r="311" spans="1:14" x14ac:dyDescent="0.25">
      <c r="A311" s="175"/>
      <c r="B311" s="150"/>
      <c r="C311" s="30" t="s">
        <v>295</v>
      </c>
      <c r="D311" s="30" t="s">
        <v>296</v>
      </c>
      <c r="E311" s="30" t="s">
        <v>297</v>
      </c>
      <c r="F311" s="30" t="s">
        <v>298</v>
      </c>
      <c r="G311" s="30" t="s">
        <v>299</v>
      </c>
      <c r="H311" s="30" t="s">
        <v>300</v>
      </c>
      <c r="I311" s="30" t="s">
        <v>301</v>
      </c>
      <c r="J311" s="30" t="s">
        <v>302</v>
      </c>
      <c r="K311" s="30" t="s">
        <v>303</v>
      </c>
      <c r="L311" s="30" t="s">
        <v>304</v>
      </c>
      <c r="M311" s="30" t="s">
        <v>305</v>
      </c>
      <c r="N311" s="42" t="s">
        <v>306</v>
      </c>
    </row>
    <row r="312" spans="1:14" x14ac:dyDescent="0.25">
      <c r="A312" s="38">
        <v>279</v>
      </c>
      <c r="B312" s="5" t="s">
        <v>171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46"/>
    </row>
    <row r="313" spans="1:14" x14ac:dyDescent="0.25">
      <c r="A313" s="171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72"/>
    </row>
    <row r="314" spans="1:14" x14ac:dyDescent="0.25">
      <c r="A314" s="175" t="s">
        <v>292</v>
      </c>
      <c r="B314" s="150" t="s">
        <v>293</v>
      </c>
      <c r="C314" s="157" t="s">
        <v>308</v>
      </c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76"/>
    </row>
    <row r="315" spans="1:14" x14ac:dyDescent="0.25">
      <c r="A315" s="175"/>
      <c r="B315" s="150"/>
      <c r="C315" s="30" t="s">
        <v>295</v>
      </c>
      <c r="D315" s="30" t="s">
        <v>296</v>
      </c>
      <c r="E315" s="30" t="s">
        <v>297</v>
      </c>
      <c r="F315" s="30" t="s">
        <v>298</v>
      </c>
      <c r="G315" s="30" t="s">
        <v>299</v>
      </c>
      <c r="H315" s="30" t="s">
        <v>300</v>
      </c>
      <c r="I315" s="30" t="s">
        <v>301</v>
      </c>
      <c r="J315" s="30" t="s">
        <v>302</v>
      </c>
      <c r="K315" s="30" t="s">
        <v>303</v>
      </c>
      <c r="L315" s="30" t="s">
        <v>304</v>
      </c>
      <c r="M315" s="30" t="s">
        <v>305</v>
      </c>
      <c r="N315" s="42" t="s">
        <v>306</v>
      </c>
    </row>
    <row r="316" spans="1:14" x14ac:dyDescent="0.25">
      <c r="A316" s="38">
        <v>279</v>
      </c>
      <c r="B316" s="5" t="s">
        <v>171</v>
      </c>
      <c r="C316" s="29">
        <v>3.65</v>
      </c>
      <c r="D316" s="29">
        <v>3.64</v>
      </c>
      <c r="E316" s="29">
        <v>4.16</v>
      </c>
      <c r="F316" s="29">
        <v>4.43</v>
      </c>
      <c r="G316" s="29">
        <v>3.68</v>
      </c>
      <c r="H316" s="29">
        <v>3.63</v>
      </c>
      <c r="I316" s="29">
        <v>4.45</v>
      </c>
      <c r="J316" s="29">
        <v>4.42</v>
      </c>
      <c r="K316" s="29">
        <v>4.63</v>
      </c>
      <c r="L316" s="29">
        <v>4.71</v>
      </c>
      <c r="M316" s="29">
        <v>5.03</v>
      </c>
      <c r="N316" s="44">
        <v>4.5199999999999996</v>
      </c>
    </row>
    <row r="317" spans="1:14" x14ac:dyDescent="0.25">
      <c r="A317" s="171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72"/>
    </row>
    <row r="318" spans="1:14" ht="18.75" x14ac:dyDescent="0.25">
      <c r="A318" s="173" t="s">
        <v>309</v>
      </c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74"/>
    </row>
    <row r="319" spans="1:14" x14ac:dyDescent="0.25">
      <c r="A319" s="175" t="s">
        <v>292</v>
      </c>
      <c r="B319" s="150" t="s">
        <v>293</v>
      </c>
      <c r="C319" s="150" t="s">
        <v>1</v>
      </c>
      <c r="D319" s="150" t="s">
        <v>2</v>
      </c>
      <c r="E319" s="150" t="s">
        <v>310</v>
      </c>
      <c r="F319" s="150"/>
      <c r="G319" s="150"/>
      <c r="H319" s="150"/>
      <c r="I319" s="30"/>
      <c r="J319" s="30"/>
      <c r="K319" s="30"/>
      <c r="L319" s="30"/>
      <c r="M319" s="30"/>
      <c r="N319" s="42"/>
    </row>
    <row r="320" spans="1:14" x14ac:dyDescent="0.25">
      <c r="A320" s="175"/>
      <c r="B320" s="150"/>
      <c r="C320" s="150"/>
      <c r="D320" s="150"/>
      <c r="E320" s="30" t="s">
        <v>292</v>
      </c>
      <c r="F320" s="30" t="s">
        <v>293</v>
      </c>
      <c r="G320" s="30" t="s">
        <v>1</v>
      </c>
      <c r="H320" s="30" t="s">
        <v>2</v>
      </c>
      <c r="I320" s="30"/>
      <c r="J320" s="30"/>
      <c r="K320" s="30"/>
      <c r="L320" s="30"/>
      <c r="M320" s="30"/>
      <c r="N320" s="42"/>
    </row>
    <row r="321" spans="1:14" x14ac:dyDescent="0.25">
      <c r="A321" s="39" t="s">
        <v>170</v>
      </c>
      <c r="B321" s="5" t="s">
        <v>171</v>
      </c>
      <c r="C321" s="29">
        <v>-8.75</v>
      </c>
      <c r="D321" s="29">
        <v>-63.45</v>
      </c>
      <c r="E321" s="6"/>
      <c r="F321" s="6"/>
      <c r="G321" s="6"/>
      <c r="H321" s="6"/>
      <c r="I321" s="35"/>
      <c r="J321" s="35"/>
      <c r="K321" s="35"/>
      <c r="L321" s="35"/>
      <c r="M321" s="35"/>
      <c r="N321" s="46"/>
    </row>
    <row r="322" spans="1:14" x14ac:dyDescent="0.25">
      <c r="A322" s="171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72"/>
    </row>
    <row r="323" spans="1:14" ht="18.75" x14ac:dyDescent="0.25">
      <c r="A323" s="173" t="s">
        <v>311</v>
      </c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74"/>
    </row>
    <row r="324" spans="1:14" x14ac:dyDescent="0.25">
      <c r="A324" s="175" t="s">
        <v>292</v>
      </c>
      <c r="B324" s="150" t="s">
        <v>293</v>
      </c>
      <c r="C324" s="151" t="s">
        <v>312</v>
      </c>
      <c r="D324" s="152"/>
      <c r="E324" s="152"/>
      <c r="F324" s="153"/>
      <c r="G324" s="151" t="s">
        <v>313</v>
      </c>
      <c r="H324" s="152"/>
      <c r="I324" s="152"/>
      <c r="J324" s="153"/>
      <c r="K324" s="30"/>
      <c r="L324" s="30"/>
      <c r="M324" s="30"/>
      <c r="N324" s="42"/>
    </row>
    <row r="325" spans="1:14" x14ac:dyDescent="0.25">
      <c r="A325" s="175"/>
      <c r="B325" s="150"/>
      <c r="C325" s="154"/>
      <c r="D325" s="155"/>
      <c r="E325" s="155"/>
      <c r="F325" s="156"/>
      <c r="G325" s="154"/>
      <c r="H325" s="155"/>
      <c r="I325" s="155"/>
      <c r="J325" s="156"/>
      <c r="K325" s="30"/>
      <c r="L325" s="30"/>
      <c r="M325" s="30"/>
      <c r="N325" s="42"/>
    </row>
    <row r="326" spans="1:14" ht="15.75" thickBot="1" x14ac:dyDescent="0.3">
      <c r="A326" s="49"/>
      <c r="B326" s="50"/>
      <c r="C326" s="177"/>
      <c r="D326" s="177"/>
      <c r="E326" s="177"/>
      <c r="F326" s="177"/>
      <c r="G326" s="177"/>
      <c r="H326" s="177"/>
      <c r="I326" s="177"/>
      <c r="J326" s="177"/>
      <c r="K326" s="51"/>
      <c r="L326" s="51"/>
      <c r="M326" s="51"/>
      <c r="N326" s="52"/>
    </row>
    <row r="327" spans="1:14" ht="16.5" thickTop="1" thickBot="1" x14ac:dyDescent="0.3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</row>
    <row r="328" spans="1:14" ht="19.5" thickTop="1" x14ac:dyDescent="0.25">
      <c r="A328" s="178" t="s">
        <v>492</v>
      </c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80"/>
    </row>
    <row r="329" spans="1:14" x14ac:dyDescent="0.25">
      <c r="A329" s="171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72"/>
    </row>
    <row r="330" spans="1:14" ht="18.75" x14ac:dyDescent="0.25">
      <c r="A330" s="173" t="s">
        <v>291</v>
      </c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74"/>
    </row>
    <row r="331" spans="1:14" x14ac:dyDescent="0.25">
      <c r="A331" s="175" t="s">
        <v>292</v>
      </c>
      <c r="B331" s="150" t="s">
        <v>293</v>
      </c>
      <c r="C331" s="157" t="s">
        <v>294</v>
      </c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76"/>
    </row>
    <row r="332" spans="1:14" x14ac:dyDescent="0.25">
      <c r="A332" s="175"/>
      <c r="B332" s="150"/>
      <c r="C332" s="30" t="s">
        <v>295</v>
      </c>
      <c r="D332" s="30" t="s">
        <v>296</v>
      </c>
      <c r="E332" s="30" t="s">
        <v>297</v>
      </c>
      <c r="F332" s="30" t="s">
        <v>298</v>
      </c>
      <c r="G332" s="30" t="s">
        <v>299</v>
      </c>
      <c r="H332" s="30" t="s">
        <v>300</v>
      </c>
      <c r="I332" s="30" t="s">
        <v>301</v>
      </c>
      <c r="J332" s="30" t="s">
        <v>302</v>
      </c>
      <c r="K332" s="30" t="s">
        <v>303</v>
      </c>
      <c r="L332" s="30" t="s">
        <v>304</v>
      </c>
      <c r="M332" s="30" t="s">
        <v>305</v>
      </c>
      <c r="N332" s="42" t="s">
        <v>306</v>
      </c>
    </row>
    <row r="333" spans="1:14" x14ac:dyDescent="0.25">
      <c r="A333" s="38">
        <v>145</v>
      </c>
      <c r="B333" s="5" t="s">
        <v>169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46"/>
    </row>
    <row r="334" spans="1:14" x14ac:dyDescent="0.25">
      <c r="A334" s="171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72"/>
    </row>
    <row r="335" spans="1:14" x14ac:dyDescent="0.25">
      <c r="A335" s="175" t="s">
        <v>292</v>
      </c>
      <c r="B335" s="150" t="s">
        <v>293</v>
      </c>
      <c r="C335" s="157" t="s">
        <v>308</v>
      </c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76"/>
    </row>
    <row r="336" spans="1:14" x14ac:dyDescent="0.25">
      <c r="A336" s="175"/>
      <c r="B336" s="150"/>
      <c r="C336" s="30" t="s">
        <v>295</v>
      </c>
      <c r="D336" s="30" t="s">
        <v>296</v>
      </c>
      <c r="E336" s="30" t="s">
        <v>297</v>
      </c>
      <c r="F336" s="30" t="s">
        <v>298</v>
      </c>
      <c r="G336" s="30" t="s">
        <v>299</v>
      </c>
      <c r="H336" s="30" t="s">
        <v>300</v>
      </c>
      <c r="I336" s="30" t="s">
        <v>301</v>
      </c>
      <c r="J336" s="30" t="s">
        <v>302</v>
      </c>
      <c r="K336" s="30" t="s">
        <v>303</v>
      </c>
      <c r="L336" s="30" t="s">
        <v>304</v>
      </c>
      <c r="M336" s="30" t="s">
        <v>305</v>
      </c>
      <c r="N336" s="42" t="s">
        <v>306</v>
      </c>
    </row>
    <row r="337" spans="1:14" x14ac:dyDescent="0.25">
      <c r="A337" s="38">
        <v>145</v>
      </c>
      <c r="B337" s="5" t="s">
        <v>169</v>
      </c>
      <c r="C337" s="29">
        <v>3.77</v>
      </c>
      <c r="D337" s="29">
        <v>4.1100000000000003</v>
      </c>
      <c r="E337" s="29">
        <v>4.16</v>
      </c>
      <c r="F337" s="29">
        <v>3.97</v>
      </c>
      <c r="G337" s="29">
        <v>3.61</v>
      </c>
      <c r="H337" s="29">
        <v>2.93</v>
      </c>
      <c r="I337" s="29">
        <v>3.13</v>
      </c>
      <c r="J337" s="29">
        <v>3.61</v>
      </c>
      <c r="K337" s="29">
        <v>4</v>
      </c>
      <c r="L337" s="29">
        <v>4.1900000000000004</v>
      </c>
      <c r="M337" s="29">
        <v>4.2</v>
      </c>
      <c r="N337" s="44">
        <v>4.16</v>
      </c>
    </row>
    <row r="338" spans="1:14" x14ac:dyDescent="0.25">
      <c r="A338" s="171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72"/>
    </row>
    <row r="339" spans="1:14" ht="18.75" x14ac:dyDescent="0.25">
      <c r="A339" s="173" t="s">
        <v>309</v>
      </c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74"/>
    </row>
    <row r="340" spans="1:14" x14ac:dyDescent="0.25">
      <c r="A340" s="175" t="s">
        <v>292</v>
      </c>
      <c r="B340" s="150" t="s">
        <v>293</v>
      </c>
      <c r="C340" s="150" t="s">
        <v>1</v>
      </c>
      <c r="D340" s="150" t="s">
        <v>2</v>
      </c>
      <c r="E340" s="150" t="s">
        <v>310</v>
      </c>
      <c r="F340" s="150"/>
      <c r="G340" s="150"/>
      <c r="H340" s="150"/>
      <c r="I340" s="30"/>
      <c r="J340" s="30"/>
      <c r="K340" s="30"/>
      <c r="L340" s="30"/>
      <c r="M340" s="30"/>
      <c r="N340" s="42"/>
    </row>
    <row r="341" spans="1:14" x14ac:dyDescent="0.25">
      <c r="A341" s="175"/>
      <c r="B341" s="150"/>
      <c r="C341" s="150"/>
      <c r="D341" s="150"/>
      <c r="E341" s="30" t="s">
        <v>292</v>
      </c>
      <c r="F341" s="30" t="s">
        <v>293</v>
      </c>
      <c r="G341" s="30" t="s">
        <v>1</v>
      </c>
      <c r="H341" s="30" t="s">
        <v>2</v>
      </c>
      <c r="I341" s="30"/>
      <c r="J341" s="30"/>
      <c r="K341" s="30"/>
      <c r="L341" s="30"/>
      <c r="M341" s="30"/>
      <c r="N341" s="42"/>
    </row>
    <row r="342" spans="1:14" x14ac:dyDescent="0.25">
      <c r="A342" s="39" t="s">
        <v>168</v>
      </c>
      <c r="B342" s="5" t="s">
        <v>169</v>
      </c>
      <c r="C342" s="29">
        <v>-11.99</v>
      </c>
      <c r="D342" s="29">
        <v>-60.7</v>
      </c>
      <c r="E342" s="6"/>
      <c r="F342" s="6"/>
      <c r="G342" s="6"/>
      <c r="H342" s="6"/>
      <c r="I342" s="35"/>
      <c r="J342" s="35"/>
      <c r="K342" s="35"/>
      <c r="L342" s="35"/>
      <c r="M342" s="35"/>
      <c r="N342" s="46"/>
    </row>
    <row r="343" spans="1:14" x14ac:dyDescent="0.25">
      <c r="A343" s="171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72"/>
    </row>
    <row r="344" spans="1:14" ht="18.75" x14ac:dyDescent="0.25">
      <c r="A344" s="173" t="s">
        <v>311</v>
      </c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74"/>
    </row>
    <row r="345" spans="1:14" x14ac:dyDescent="0.25">
      <c r="A345" s="175" t="s">
        <v>292</v>
      </c>
      <c r="B345" s="150" t="s">
        <v>293</v>
      </c>
      <c r="C345" s="151" t="s">
        <v>312</v>
      </c>
      <c r="D345" s="152"/>
      <c r="E345" s="152"/>
      <c r="F345" s="153"/>
      <c r="G345" s="151" t="s">
        <v>313</v>
      </c>
      <c r="H345" s="152"/>
      <c r="I345" s="152"/>
      <c r="J345" s="153"/>
      <c r="K345" s="30"/>
      <c r="L345" s="30"/>
      <c r="M345" s="30"/>
      <c r="N345" s="42"/>
    </row>
    <row r="346" spans="1:14" x14ac:dyDescent="0.25">
      <c r="A346" s="175"/>
      <c r="B346" s="150"/>
      <c r="C346" s="154"/>
      <c r="D346" s="155"/>
      <c r="E346" s="155"/>
      <c r="F346" s="156"/>
      <c r="G346" s="154"/>
      <c r="H346" s="155"/>
      <c r="I346" s="155"/>
      <c r="J346" s="156"/>
      <c r="K346" s="30"/>
      <c r="L346" s="30"/>
      <c r="M346" s="30"/>
      <c r="N346" s="42"/>
    </row>
    <row r="347" spans="1:14" ht="15.75" thickBot="1" x14ac:dyDescent="0.3">
      <c r="A347" s="49"/>
      <c r="B347" s="50"/>
      <c r="C347" s="177"/>
      <c r="D347" s="177"/>
      <c r="E347" s="177"/>
      <c r="F347" s="177"/>
      <c r="G347" s="177"/>
      <c r="H347" s="177"/>
      <c r="I347" s="177"/>
      <c r="J347" s="177"/>
      <c r="K347" s="51"/>
      <c r="L347" s="51"/>
      <c r="M347" s="51"/>
      <c r="N347" s="52"/>
    </row>
    <row r="348" spans="1:14" ht="16.5" thickTop="1" thickBot="1" x14ac:dyDescent="0.3"/>
    <row r="349" spans="1:14" ht="19.5" thickTop="1" x14ac:dyDescent="0.25">
      <c r="A349" s="178" t="s">
        <v>493</v>
      </c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80"/>
    </row>
    <row r="350" spans="1:14" x14ac:dyDescent="0.25">
      <c r="A350" s="171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72"/>
    </row>
    <row r="351" spans="1:14" ht="18.75" x14ac:dyDescent="0.25">
      <c r="A351" s="173" t="s">
        <v>291</v>
      </c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74"/>
    </row>
    <row r="352" spans="1:14" x14ac:dyDescent="0.25">
      <c r="A352" s="175" t="s">
        <v>292</v>
      </c>
      <c r="B352" s="150" t="s">
        <v>293</v>
      </c>
      <c r="C352" s="157" t="s">
        <v>294</v>
      </c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76"/>
    </row>
    <row r="353" spans="1:14" x14ac:dyDescent="0.25">
      <c r="A353" s="175"/>
      <c r="B353" s="150"/>
      <c r="C353" s="30" t="s">
        <v>295</v>
      </c>
      <c r="D353" s="30" t="s">
        <v>296</v>
      </c>
      <c r="E353" s="30" t="s">
        <v>297</v>
      </c>
      <c r="F353" s="30" t="s">
        <v>298</v>
      </c>
      <c r="G353" s="30" t="s">
        <v>299</v>
      </c>
      <c r="H353" s="30" t="s">
        <v>300</v>
      </c>
      <c r="I353" s="30" t="s">
        <v>301</v>
      </c>
      <c r="J353" s="30" t="s">
        <v>302</v>
      </c>
      <c r="K353" s="30" t="s">
        <v>303</v>
      </c>
      <c r="L353" s="30" t="s">
        <v>304</v>
      </c>
      <c r="M353" s="30" t="s">
        <v>305</v>
      </c>
      <c r="N353" s="42" t="s">
        <v>306</v>
      </c>
    </row>
    <row r="354" spans="1:14" x14ac:dyDescent="0.25">
      <c r="A354" s="87">
        <v>288</v>
      </c>
      <c r="B354" s="80" t="s">
        <v>494</v>
      </c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2"/>
    </row>
    <row r="355" spans="1:14" x14ac:dyDescent="0.25">
      <c r="A355" s="171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72"/>
    </row>
    <row r="356" spans="1:14" x14ac:dyDescent="0.25">
      <c r="A356" s="175" t="s">
        <v>292</v>
      </c>
      <c r="B356" s="150" t="s">
        <v>293</v>
      </c>
      <c r="C356" s="157" t="s">
        <v>308</v>
      </c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76"/>
    </row>
    <row r="357" spans="1:14" x14ac:dyDescent="0.25">
      <c r="A357" s="175"/>
      <c r="B357" s="150"/>
      <c r="C357" s="30" t="s">
        <v>295</v>
      </c>
      <c r="D357" s="30" t="s">
        <v>296</v>
      </c>
      <c r="E357" s="30" t="s">
        <v>297</v>
      </c>
      <c r="F357" s="30" t="s">
        <v>298</v>
      </c>
      <c r="G357" s="30" t="s">
        <v>299</v>
      </c>
      <c r="H357" s="30" t="s">
        <v>300</v>
      </c>
      <c r="I357" s="30" t="s">
        <v>301</v>
      </c>
      <c r="J357" s="30" t="s">
        <v>302</v>
      </c>
      <c r="K357" s="30" t="s">
        <v>303</v>
      </c>
      <c r="L357" s="30" t="s">
        <v>304</v>
      </c>
      <c r="M357" s="30" t="s">
        <v>305</v>
      </c>
      <c r="N357" s="42" t="s">
        <v>306</v>
      </c>
    </row>
    <row r="358" spans="1:14" x14ac:dyDescent="0.25">
      <c r="A358" s="87">
        <v>288</v>
      </c>
      <c r="B358" s="80" t="s">
        <v>494</v>
      </c>
      <c r="C358" s="91">
        <v>4.9000000000000004</v>
      </c>
      <c r="D358" s="91">
        <v>5.21</v>
      </c>
      <c r="E358" s="91">
        <v>5.16</v>
      </c>
      <c r="F358" s="91">
        <v>4.97</v>
      </c>
      <c r="G358" s="91">
        <v>4.6500000000000004</v>
      </c>
      <c r="H358" s="91">
        <v>4.47</v>
      </c>
      <c r="I358" s="91">
        <v>4.9000000000000004</v>
      </c>
      <c r="J358" s="91">
        <v>5.65</v>
      </c>
      <c r="K358" s="91">
        <v>5.67</v>
      </c>
      <c r="L358" s="91">
        <v>5.42</v>
      </c>
      <c r="M358" s="91">
        <v>5.07</v>
      </c>
      <c r="N358" s="92">
        <v>4.68</v>
      </c>
    </row>
    <row r="359" spans="1:14" x14ac:dyDescent="0.25">
      <c r="A359" s="194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6"/>
    </row>
    <row r="360" spans="1:14" ht="18.75" x14ac:dyDescent="0.25">
      <c r="A360" s="173" t="s">
        <v>309</v>
      </c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74"/>
    </row>
    <row r="361" spans="1:14" x14ac:dyDescent="0.25">
      <c r="A361" s="175" t="s">
        <v>292</v>
      </c>
      <c r="B361" s="150" t="s">
        <v>293</v>
      </c>
      <c r="C361" s="150" t="s">
        <v>1</v>
      </c>
      <c r="D361" s="150" t="s">
        <v>2</v>
      </c>
      <c r="E361" s="150" t="s">
        <v>310</v>
      </c>
      <c r="F361" s="150"/>
      <c r="G361" s="150"/>
      <c r="H361" s="150"/>
      <c r="I361" s="221" t="s">
        <v>464</v>
      </c>
      <c r="J361" s="30"/>
      <c r="K361" s="30"/>
      <c r="L361" s="30"/>
      <c r="M361" s="30"/>
      <c r="N361" s="42"/>
    </row>
    <row r="362" spans="1:14" x14ac:dyDescent="0.25">
      <c r="A362" s="175"/>
      <c r="B362" s="150"/>
      <c r="C362" s="150"/>
      <c r="D362" s="150"/>
      <c r="E362" s="30" t="s">
        <v>292</v>
      </c>
      <c r="F362" s="30" t="s">
        <v>293</v>
      </c>
      <c r="G362" s="30" t="s">
        <v>1</v>
      </c>
      <c r="H362" s="30" t="s">
        <v>2</v>
      </c>
      <c r="I362" s="222"/>
      <c r="J362" s="30"/>
      <c r="K362" s="30"/>
      <c r="L362" s="30"/>
      <c r="M362" s="30"/>
      <c r="N362" s="42"/>
    </row>
    <row r="363" spans="1:14" x14ac:dyDescent="0.25">
      <c r="A363" s="87" t="s">
        <v>176</v>
      </c>
      <c r="B363" s="80" t="s">
        <v>494</v>
      </c>
      <c r="C363" s="85">
        <v>-3.41</v>
      </c>
      <c r="D363" s="85">
        <v>-51.91</v>
      </c>
      <c r="E363" s="85"/>
      <c r="F363" s="85"/>
      <c r="G363" s="85"/>
      <c r="H363" s="85"/>
      <c r="I363" s="116">
        <v>0.69899999999999995</v>
      </c>
      <c r="J363" s="85"/>
      <c r="K363" s="85"/>
      <c r="L363" s="85"/>
      <c r="M363" s="85"/>
      <c r="N363" s="92"/>
    </row>
    <row r="364" spans="1:14" x14ac:dyDescent="0.25">
      <c r="A364" s="112" t="s">
        <v>174</v>
      </c>
      <c r="B364" s="82" t="s">
        <v>463</v>
      </c>
      <c r="C364" s="113">
        <v>-6.75</v>
      </c>
      <c r="D364" s="113">
        <v>-51.77</v>
      </c>
      <c r="E364" s="113"/>
      <c r="F364" s="113"/>
      <c r="G364" s="113"/>
      <c r="H364" s="113"/>
      <c r="I364" s="117">
        <v>0.26400000000000001</v>
      </c>
      <c r="J364" s="113"/>
      <c r="K364" s="113"/>
      <c r="L364" s="113"/>
      <c r="M364" s="113"/>
      <c r="N364" s="127"/>
    </row>
    <row r="365" spans="1:14" x14ac:dyDescent="0.25">
      <c r="A365" s="87" t="s">
        <v>172</v>
      </c>
      <c r="B365" s="80" t="s">
        <v>173</v>
      </c>
      <c r="C365" s="85">
        <v>-6.74</v>
      </c>
      <c r="D365" s="85">
        <v>-52</v>
      </c>
      <c r="E365" s="85"/>
      <c r="F365" s="85"/>
      <c r="G365" s="85"/>
      <c r="H365" s="85"/>
      <c r="I365" s="116">
        <v>3.6999999999999998E-2</v>
      </c>
      <c r="J365" s="85"/>
      <c r="K365" s="85"/>
      <c r="L365" s="85"/>
      <c r="M365" s="85"/>
      <c r="N365" s="92"/>
    </row>
    <row r="366" spans="1:14" x14ac:dyDescent="0.25">
      <c r="A366" s="194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6"/>
    </row>
    <row r="367" spans="1:14" ht="18.75" x14ac:dyDescent="0.25">
      <c r="A367" s="173" t="s">
        <v>311</v>
      </c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74"/>
    </row>
    <row r="368" spans="1:14" x14ac:dyDescent="0.25">
      <c r="A368" s="175" t="s">
        <v>292</v>
      </c>
      <c r="B368" s="150" t="s">
        <v>293</v>
      </c>
      <c r="C368" s="151" t="s">
        <v>312</v>
      </c>
      <c r="D368" s="152"/>
      <c r="E368" s="152"/>
      <c r="F368" s="153"/>
      <c r="G368" s="151" t="s">
        <v>313</v>
      </c>
      <c r="H368" s="152"/>
      <c r="I368" s="152"/>
      <c r="J368" s="153"/>
      <c r="K368" s="30"/>
      <c r="L368" s="30"/>
      <c r="M368" s="30"/>
      <c r="N368" s="42"/>
    </row>
    <row r="369" spans="1:14" x14ac:dyDescent="0.25">
      <c r="A369" s="175"/>
      <c r="B369" s="150"/>
      <c r="C369" s="154"/>
      <c r="D369" s="155"/>
      <c r="E369" s="155"/>
      <c r="F369" s="156"/>
      <c r="G369" s="154"/>
      <c r="H369" s="155"/>
      <c r="I369" s="155"/>
      <c r="J369" s="156"/>
      <c r="K369" s="30"/>
      <c r="L369" s="30"/>
      <c r="M369" s="30"/>
      <c r="N369" s="42"/>
    </row>
    <row r="370" spans="1:14" ht="15.75" thickBot="1" x14ac:dyDescent="0.3">
      <c r="A370" s="49"/>
      <c r="B370" s="50"/>
      <c r="C370" s="177"/>
      <c r="D370" s="177"/>
      <c r="E370" s="177"/>
      <c r="F370" s="177"/>
      <c r="G370" s="177"/>
      <c r="H370" s="177"/>
      <c r="I370" s="177"/>
      <c r="J370" s="177"/>
      <c r="K370" s="51"/>
      <c r="L370" s="51"/>
      <c r="M370" s="51"/>
      <c r="N370" s="52"/>
    </row>
    <row r="371" spans="1:14" ht="16.5" thickTop="1" thickBot="1" x14ac:dyDescent="0.3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</row>
    <row r="372" spans="1:14" ht="19.5" thickTop="1" x14ac:dyDescent="0.25">
      <c r="A372" s="178" t="s">
        <v>495</v>
      </c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80"/>
    </row>
    <row r="373" spans="1:14" x14ac:dyDescent="0.25">
      <c r="A373" s="171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72"/>
    </row>
    <row r="374" spans="1:14" ht="18.75" x14ac:dyDescent="0.25">
      <c r="A374" s="173" t="s">
        <v>291</v>
      </c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74"/>
    </row>
    <row r="375" spans="1:14" x14ac:dyDescent="0.25">
      <c r="A375" s="175" t="s">
        <v>292</v>
      </c>
      <c r="B375" s="150" t="s">
        <v>293</v>
      </c>
      <c r="C375" s="157" t="s">
        <v>294</v>
      </c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76"/>
    </row>
    <row r="376" spans="1:14" x14ac:dyDescent="0.25">
      <c r="A376" s="175"/>
      <c r="B376" s="150"/>
      <c r="C376" s="30" t="s">
        <v>295</v>
      </c>
      <c r="D376" s="30" t="s">
        <v>296</v>
      </c>
      <c r="E376" s="30" t="s">
        <v>297</v>
      </c>
      <c r="F376" s="30" t="s">
        <v>298</v>
      </c>
      <c r="G376" s="30" t="s">
        <v>299</v>
      </c>
      <c r="H376" s="30" t="s">
        <v>300</v>
      </c>
      <c r="I376" s="30" t="s">
        <v>301</v>
      </c>
      <c r="J376" s="30" t="s">
        <v>302</v>
      </c>
      <c r="K376" s="30" t="s">
        <v>303</v>
      </c>
      <c r="L376" s="30" t="s">
        <v>304</v>
      </c>
      <c r="M376" s="30" t="s">
        <v>305</v>
      </c>
      <c r="N376" s="42" t="s">
        <v>306</v>
      </c>
    </row>
    <row r="377" spans="1:14" x14ac:dyDescent="0.25">
      <c r="A377" s="87">
        <v>227</v>
      </c>
      <c r="B377" s="80" t="s">
        <v>496</v>
      </c>
      <c r="C377" s="85">
        <v>0.91500000000000004</v>
      </c>
      <c r="D377" s="85">
        <v>0.91500000000000004</v>
      </c>
      <c r="E377" s="85">
        <v>0.91500000000000004</v>
      </c>
      <c r="F377" s="85">
        <v>0.91500000000000004</v>
      </c>
      <c r="G377" s="85">
        <v>0.91500000000000004</v>
      </c>
      <c r="H377" s="85">
        <v>0.91500000000000004</v>
      </c>
      <c r="I377" s="116">
        <v>0.91500000000000004</v>
      </c>
      <c r="J377" s="85">
        <v>0.91500000000000004</v>
      </c>
      <c r="K377" s="85">
        <v>0.91500000000000004</v>
      </c>
      <c r="L377" s="85">
        <v>0.91500000000000004</v>
      </c>
      <c r="M377" s="85">
        <v>0.91500000000000004</v>
      </c>
      <c r="N377" s="92">
        <v>0.91500000000000004</v>
      </c>
    </row>
    <row r="378" spans="1:14" x14ac:dyDescent="0.25">
      <c r="A378" s="112">
        <v>228</v>
      </c>
      <c r="B378" s="82" t="s">
        <v>179</v>
      </c>
      <c r="C378" s="113">
        <v>8.5000000000000006E-2</v>
      </c>
      <c r="D378" s="113">
        <v>8.5000000000000006E-2</v>
      </c>
      <c r="E378" s="113">
        <v>8.5000000000000006E-2</v>
      </c>
      <c r="F378" s="113">
        <v>8.5000000000000006E-2</v>
      </c>
      <c r="G378" s="113">
        <v>8.5000000000000006E-2</v>
      </c>
      <c r="H378" s="113">
        <v>8.5000000000000006E-2</v>
      </c>
      <c r="I378" s="117">
        <v>8.5000000000000006E-2</v>
      </c>
      <c r="J378" s="113">
        <v>8.5000000000000006E-2</v>
      </c>
      <c r="K378" s="113">
        <v>8.5000000000000006E-2</v>
      </c>
      <c r="L378" s="113">
        <v>8.5000000000000006E-2</v>
      </c>
      <c r="M378" s="113">
        <v>8.5000000000000006E-2</v>
      </c>
      <c r="N378" s="127">
        <v>8.5000000000000006E-2</v>
      </c>
    </row>
    <row r="379" spans="1:14" x14ac:dyDescent="0.25">
      <c r="A379" s="171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72"/>
    </row>
    <row r="380" spans="1:14" x14ac:dyDescent="0.25">
      <c r="A380" s="175" t="s">
        <v>292</v>
      </c>
      <c r="B380" s="150" t="s">
        <v>293</v>
      </c>
      <c r="C380" s="157" t="s">
        <v>308</v>
      </c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76"/>
    </row>
    <row r="381" spans="1:14" x14ac:dyDescent="0.25">
      <c r="A381" s="175"/>
      <c r="B381" s="150"/>
      <c r="C381" s="30" t="s">
        <v>295</v>
      </c>
      <c r="D381" s="30" t="s">
        <v>296</v>
      </c>
      <c r="E381" s="30" t="s">
        <v>297</v>
      </c>
      <c r="F381" s="30" t="s">
        <v>298</v>
      </c>
      <c r="G381" s="30" t="s">
        <v>299</v>
      </c>
      <c r="H381" s="30" t="s">
        <v>300</v>
      </c>
      <c r="I381" s="30" t="s">
        <v>301</v>
      </c>
      <c r="J381" s="30" t="s">
        <v>302</v>
      </c>
      <c r="K381" s="30" t="s">
        <v>303</v>
      </c>
      <c r="L381" s="30" t="s">
        <v>304</v>
      </c>
      <c r="M381" s="30" t="s">
        <v>305</v>
      </c>
      <c r="N381" s="42" t="s">
        <v>306</v>
      </c>
    </row>
    <row r="382" spans="1:14" x14ac:dyDescent="0.25">
      <c r="A382" s="87">
        <v>228</v>
      </c>
      <c r="B382" s="80" t="s">
        <v>179</v>
      </c>
      <c r="C382" s="91">
        <v>3.61</v>
      </c>
      <c r="D382" s="91">
        <v>3.71</v>
      </c>
      <c r="E382" s="91">
        <v>3.55</v>
      </c>
      <c r="F382" s="91">
        <v>3.57</v>
      </c>
      <c r="G382" s="91">
        <v>3.23</v>
      </c>
      <c r="H382" s="91">
        <v>2.6</v>
      </c>
      <c r="I382" s="91">
        <v>2.42</v>
      </c>
      <c r="J382" s="91">
        <v>2.94</v>
      </c>
      <c r="K382" s="91">
        <v>3.4</v>
      </c>
      <c r="L382" s="91">
        <v>3.87</v>
      </c>
      <c r="M382" s="91">
        <v>3.87</v>
      </c>
      <c r="N382" s="92">
        <v>3.94</v>
      </c>
    </row>
    <row r="383" spans="1:14" x14ac:dyDescent="0.25">
      <c r="A383" s="171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72"/>
    </row>
    <row r="384" spans="1:14" ht="18.75" x14ac:dyDescent="0.25">
      <c r="A384" s="173" t="s">
        <v>309</v>
      </c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74"/>
    </row>
    <row r="385" spans="1:14" x14ac:dyDescent="0.25">
      <c r="A385" s="175" t="s">
        <v>292</v>
      </c>
      <c r="B385" s="150" t="s">
        <v>293</v>
      </c>
      <c r="C385" s="150" t="s">
        <v>1</v>
      </c>
      <c r="D385" s="150" t="s">
        <v>2</v>
      </c>
      <c r="E385" s="150" t="s">
        <v>310</v>
      </c>
      <c r="F385" s="150"/>
      <c r="G385" s="150"/>
      <c r="H385" s="150"/>
      <c r="I385" s="30"/>
      <c r="J385" s="30"/>
      <c r="K385" s="30"/>
      <c r="L385" s="30"/>
      <c r="M385" s="30"/>
      <c r="N385" s="42"/>
    </row>
    <row r="386" spans="1:14" x14ac:dyDescent="0.25">
      <c r="A386" s="175"/>
      <c r="B386" s="150"/>
      <c r="C386" s="150"/>
      <c r="D386" s="150"/>
      <c r="E386" s="30" t="s">
        <v>292</v>
      </c>
      <c r="F386" s="30" t="s">
        <v>293</v>
      </c>
      <c r="G386" s="30" t="s">
        <v>1</v>
      </c>
      <c r="H386" s="30" t="s">
        <v>2</v>
      </c>
      <c r="I386" s="30"/>
      <c r="J386" s="30"/>
      <c r="K386" s="30"/>
      <c r="L386" s="30"/>
      <c r="M386" s="30"/>
      <c r="N386" s="42"/>
    </row>
    <row r="387" spans="1:14" x14ac:dyDescent="0.25">
      <c r="A387" s="90" t="s">
        <v>178</v>
      </c>
      <c r="B387" s="80" t="s">
        <v>179</v>
      </c>
      <c r="C387" s="85">
        <v>-10.98</v>
      </c>
      <c r="D387" s="85">
        <v>-55.77</v>
      </c>
      <c r="E387" s="71"/>
      <c r="F387" s="71"/>
      <c r="G387" s="71"/>
      <c r="H387" s="71"/>
      <c r="I387" s="73"/>
      <c r="J387" s="73"/>
      <c r="K387" s="73"/>
      <c r="L387" s="73"/>
      <c r="M387" s="73"/>
      <c r="N387" s="74"/>
    </row>
    <row r="388" spans="1:14" x14ac:dyDescent="0.25">
      <c r="A388" s="171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72"/>
    </row>
    <row r="389" spans="1:14" ht="18.75" x14ac:dyDescent="0.25">
      <c r="A389" s="173" t="s">
        <v>311</v>
      </c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74"/>
    </row>
    <row r="390" spans="1:14" x14ac:dyDescent="0.25">
      <c r="A390" s="175" t="s">
        <v>292</v>
      </c>
      <c r="B390" s="150" t="s">
        <v>293</v>
      </c>
      <c r="C390" s="151" t="s">
        <v>312</v>
      </c>
      <c r="D390" s="152"/>
      <c r="E390" s="152"/>
      <c r="F390" s="153"/>
      <c r="G390" s="151" t="s">
        <v>313</v>
      </c>
      <c r="H390" s="152"/>
      <c r="I390" s="152"/>
      <c r="J390" s="153"/>
      <c r="K390" s="30"/>
      <c r="L390" s="30"/>
      <c r="M390" s="30"/>
      <c r="N390" s="42"/>
    </row>
    <row r="391" spans="1:14" x14ac:dyDescent="0.25">
      <c r="A391" s="175"/>
      <c r="B391" s="150"/>
      <c r="C391" s="154"/>
      <c r="D391" s="155"/>
      <c r="E391" s="155"/>
      <c r="F391" s="156"/>
      <c r="G391" s="154"/>
      <c r="H391" s="155"/>
      <c r="I391" s="155"/>
      <c r="J391" s="156"/>
      <c r="K391" s="30"/>
      <c r="L391" s="30"/>
      <c r="M391" s="30"/>
      <c r="N391" s="42"/>
    </row>
    <row r="392" spans="1:14" ht="15.75" thickBot="1" x14ac:dyDescent="0.3">
      <c r="A392" s="49"/>
      <c r="B392" s="50"/>
      <c r="C392" s="177"/>
      <c r="D392" s="177"/>
      <c r="E392" s="177"/>
      <c r="F392" s="177"/>
      <c r="G392" s="177"/>
      <c r="H392" s="177"/>
      <c r="I392" s="177"/>
      <c r="J392" s="177"/>
      <c r="K392" s="51"/>
      <c r="L392" s="51"/>
      <c r="M392" s="51"/>
      <c r="N392" s="52"/>
    </row>
    <row r="393" spans="1:14" ht="16.5" thickTop="1" thickBot="1" x14ac:dyDescent="0.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</row>
    <row r="394" spans="1:14" ht="19.5" thickTop="1" x14ac:dyDescent="0.25">
      <c r="A394" s="178" t="s">
        <v>497</v>
      </c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80"/>
    </row>
    <row r="395" spans="1:14" x14ac:dyDescent="0.25">
      <c r="A395" s="171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72"/>
    </row>
    <row r="396" spans="1:14" ht="18.75" x14ac:dyDescent="0.25">
      <c r="A396" s="173" t="s">
        <v>291</v>
      </c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74"/>
    </row>
    <row r="397" spans="1:14" x14ac:dyDescent="0.25">
      <c r="A397" s="175" t="s">
        <v>292</v>
      </c>
      <c r="B397" s="150" t="s">
        <v>293</v>
      </c>
      <c r="C397" s="157" t="s">
        <v>294</v>
      </c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76"/>
    </row>
    <row r="398" spans="1:14" x14ac:dyDescent="0.25">
      <c r="A398" s="175"/>
      <c r="B398" s="150"/>
      <c r="C398" s="30" t="s">
        <v>295</v>
      </c>
      <c r="D398" s="30" t="s">
        <v>296</v>
      </c>
      <c r="E398" s="30" t="s">
        <v>297</v>
      </c>
      <c r="F398" s="30" t="s">
        <v>298</v>
      </c>
      <c r="G398" s="30" t="s">
        <v>299</v>
      </c>
      <c r="H398" s="30" t="s">
        <v>300</v>
      </c>
      <c r="I398" s="30" t="s">
        <v>301</v>
      </c>
      <c r="J398" s="30" t="s">
        <v>302</v>
      </c>
      <c r="K398" s="30" t="s">
        <v>303</v>
      </c>
      <c r="L398" s="30" t="s">
        <v>304</v>
      </c>
      <c r="M398" s="30" t="s">
        <v>305</v>
      </c>
      <c r="N398" s="42" t="s">
        <v>306</v>
      </c>
    </row>
    <row r="399" spans="1:14" x14ac:dyDescent="0.25">
      <c r="A399" s="87">
        <v>229</v>
      </c>
      <c r="B399" s="80" t="s">
        <v>278</v>
      </c>
      <c r="C399" s="85">
        <v>0.99099999999999999</v>
      </c>
      <c r="D399" s="85">
        <v>0.99099999999999999</v>
      </c>
      <c r="E399" s="85">
        <v>0.99099999999999999</v>
      </c>
      <c r="F399" s="85">
        <v>0.99099999999999999</v>
      </c>
      <c r="G399" s="85">
        <v>0.99099999999999999</v>
      </c>
      <c r="H399" s="85">
        <v>0.99099999999999999</v>
      </c>
      <c r="I399" s="85">
        <v>0.99099999999999999</v>
      </c>
      <c r="J399" s="85">
        <v>0.99099999999999999</v>
      </c>
      <c r="K399" s="85">
        <v>0.99099999999999999</v>
      </c>
      <c r="L399" s="85">
        <v>0.99099999999999999</v>
      </c>
      <c r="M399" s="85">
        <v>0.99099999999999999</v>
      </c>
      <c r="N399" s="16">
        <v>0.99099999999999999</v>
      </c>
    </row>
    <row r="400" spans="1:14" x14ac:dyDescent="0.25">
      <c r="A400" s="112">
        <v>230</v>
      </c>
      <c r="B400" s="82" t="s">
        <v>181</v>
      </c>
      <c r="C400" s="113">
        <v>8.9999999999999993E-3</v>
      </c>
      <c r="D400" s="113">
        <v>8.9999999999999993E-3</v>
      </c>
      <c r="E400" s="113">
        <v>8.9999999999999993E-3</v>
      </c>
      <c r="F400" s="113">
        <v>8.9999999999999993E-3</v>
      </c>
      <c r="G400" s="113">
        <v>8.9999999999999993E-3</v>
      </c>
      <c r="H400" s="113">
        <v>8.9999999999999993E-3</v>
      </c>
      <c r="I400" s="113">
        <v>8.9999999999999993E-3</v>
      </c>
      <c r="J400" s="113">
        <v>8.9999999999999993E-3</v>
      </c>
      <c r="K400" s="113">
        <v>8.9999999999999993E-3</v>
      </c>
      <c r="L400" s="113">
        <v>8.9999999999999993E-3</v>
      </c>
      <c r="M400" s="113">
        <v>8.9999999999999993E-3</v>
      </c>
      <c r="N400" s="126">
        <v>8.9999999999999993E-3</v>
      </c>
    </row>
    <row r="401" spans="1:14" x14ac:dyDescent="0.25">
      <c r="A401" s="171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72"/>
    </row>
    <row r="402" spans="1:14" x14ac:dyDescent="0.25">
      <c r="A402" s="175" t="s">
        <v>292</v>
      </c>
      <c r="B402" s="150" t="s">
        <v>293</v>
      </c>
      <c r="C402" s="157" t="s">
        <v>308</v>
      </c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76"/>
    </row>
    <row r="403" spans="1:14" x14ac:dyDescent="0.25">
      <c r="A403" s="175"/>
      <c r="B403" s="150"/>
      <c r="C403" s="30" t="s">
        <v>295</v>
      </c>
      <c r="D403" s="30" t="s">
        <v>296</v>
      </c>
      <c r="E403" s="30" t="s">
        <v>297</v>
      </c>
      <c r="F403" s="30" t="s">
        <v>298</v>
      </c>
      <c r="G403" s="30" t="s">
        <v>299</v>
      </c>
      <c r="H403" s="30" t="s">
        <v>300</v>
      </c>
      <c r="I403" s="30" t="s">
        <v>301</v>
      </c>
      <c r="J403" s="30" t="s">
        <v>302</v>
      </c>
      <c r="K403" s="30" t="s">
        <v>303</v>
      </c>
      <c r="L403" s="30" t="s">
        <v>304</v>
      </c>
      <c r="M403" s="30" t="s">
        <v>305</v>
      </c>
      <c r="N403" s="42" t="s">
        <v>306</v>
      </c>
    </row>
    <row r="404" spans="1:14" x14ac:dyDescent="0.25">
      <c r="A404" s="87">
        <v>230</v>
      </c>
      <c r="B404" s="80" t="s">
        <v>181</v>
      </c>
      <c r="C404" s="91">
        <v>3.61</v>
      </c>
      <c r="D404" s="91">
        <v>3.71</v>
      </c>
      <c r="E404" s="91">
        <v>3.55</v>
      </c>
      <c r="F404" s="91">
        <v>3.57</v>
      </c>
      <c r="G404" s="91">
        <v>3.23</v>
      </c>
      <c r="H404" s="91">
        <v>2.6</v>
      </c>
      <c r="I404" s="91">
        <v>2.42</v>
      </c>
      <c r="J404" s="91">
        <v>2.94</v>
      </c>
      <c r="K404" s="91">
        <v>3.4</v>
      </c>
      <c r="L404" s="91">
        <v>3.87</v>
      </c>
      <c r="M404" s="91">
        <v>3.87</v>
      </c>
      <c r="N404" s="92">
        <v>3.94</v>
      </c>
    </row>
    <row r="405" spans="1:14" x14ac:dyDescent="0.25">
      <c r="A405" s="171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72"/>
    </row>
    <row r="406" spans="1:14" ht="18.75" x14ac:dyDescent="0.25">
      <c r="A406" s="173" t="s">
        <v>309</v>
      </c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74"/>
    </row>
    <row r="407" spans="1:14" x14ac:dyDescent="0.25">
      <c r="A407" s="175" t="s">
        <v>292</v>
      </c>
      <c r="B407" s="150" t="s">
        <v>293</v>
      </c>
      <c r="C407" s="150" t="s">
        <v>1</v>
      </c>
      <c r="D407" s="150" t="s">
        <v>2</v>
      </c>
      <c r="E407" s="150" t="s">
        <v>310</v>
      </c>
      <c r="F407" s="150"/>
      <c r="G407" s="150"/>
      <c r="H407" s="150"/>
      <c r="I407" s="30"/>
      <c r="J407" s="30"/>
      <c r="K407" s="30"/>
      <c r="L407" s="30"/>
      <c r="M407" s="30"/>
      <c r="N407" s="42"/>
    </row>
    <row r="408" spans="1:14" x14ac:dyDescent="0.25">
      <c r="A408" s="175"/>
      <c r="B408" s="150"/>
      <c r="C408" s="150"/>
      <c r="D408" s="150"/>
      <c r="E408" s="30" t="s">
        <v>292</v>
      </c>
      <c r="F408" s="30" t="s">
        <v>293</v>
      </c>
      <c r="G408" s="30" t="s">
        <v>1</v>
      </c>
      <c r="H408" s="30" t="s">
        <v>2</v>
      </c>
      <c r="I408" s="30"/>
      <c r="J408" s="30"/>
      <c r="K408" s="30"/>
      <c r="L408" s="30"/>
      <c r="M408" s="30"/>
      <c r="N408" s="42"/>
    </row>
    <row r="409" spans="1:14" x14ac:dyDescent="0.25">
      <c r="A409" s="90" t="s">
        <v>180</v>
      </c>
      <c r="B409" s="80" t="s">
        <v>181</v>
      </c>
      <c r="C409" s="85">
        <v>-9.19</v>
      </c>
      <c r="D409" s="85">
        <v>-57.04</v>
      </c>
      <c r="E409" s="71"/>
      <c r="F409" s="71"/>
      <c r="G409" s="71"/>
      <c r="H409" s="71"/>
      <c r="I409" s="73"/>
      <c r="J409" s="73"/>
      <c r="K409" s="73"/>
      <c r="L409" s="73"/>
      <c r="M409" s="73"/>
      <c r="N409" s="74"/>
    </row>
    <row r="410" spans="1:14" x14ac:dyDescent="0.25">
      <c r="A410" s="171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72"/>
    </row>
    <row r="411" spans="1:14" ht="18.75" x14ac:dyDescent="0.25">
      <c r="A411" s="173" t="s">
        <v>311</v>
      </c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74"/>
    </row>
    <row r="412" spans="1:14" x14ac:dyDescent="0.25">
      <c r="A412" s="175" t="s">
        <v>292</v>
      </c>
      <c r="B412" s="150" t="s">
        <v>293</v>
      </c>
      <c r="C412" s="151" t="s">
        <v>312</v>
      </c>
      <c r="D412" s="152"/>
      <c r="E412" s="152"/>
      <c r="F412" s="153"/>
      <c r="G412" s="151" t="s">
        <v>313</v>
      </c>
      <c r="H412" s="152"/>
      <c r="I412" s="152"/>
      <c r="J412" s="153"/>
      <c r="K412" s="30"/>
      <c r="L412" s="30"/>
      <c r="M412" s="30"/>
      <c r="N412" s="42"/>
    </row>
    <row r="413" spans="1:14" x14ac:dyDescent="0.25">
      <c r="A413" s="175"/>
      <c r="B413" s="150"/>
      <c r="C413" s="154"/>
      <c r="D413" s="155"/>
      <c r="E413" s="155"/>
      <c r="F413" s="156"/>
      <c r="G413" s="154"/>
      <c r="H413" s="155"/>
      <c r="I413" s="155"/>
      <c r="J413" s="156"/>
      <c r="K413" s="30"/>
      <c r="L413" s="30"/>
      <c r="M413" s="30"/>
      <c r="N413" s="42"/>
    </row>
    <row r="414" spans="1:14" ht="15.75" thickBot="1" x14ac:dyDescent="0.3">
      <c r="A414" s="49"/>
      <c r="B414" s="50"/>
      <c r="C414" s="177"/>
      <c r="D414" s="177"/>
      <c r="E414" s="177"/>
      <c r="F414" s="177"/>
      <c r="G414" s="177"/>
      <c r="H414" s="177"/>
      <c r="I414" s="177"/>
      <c r="J414" s="177"/>
      <c r="K414" s="51"/>
      <c r="L414" s="51"/>
      <c r="M414" s="51"/>
      <c r="N414" s="52"/>
    </row>
    <row r="415" spans="1:14" ht="16.5" thickTop="1" thickBot="1" x14ac:dyDescent="0.3"/>
    <row r="416" spans="1:14" ht="19.5" thickTop="1" x14ac:dyDescent="0.25">
      <c r="A416" s="178" t="s">
        <v>574</v>
      </c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80"/>
    </row>
    <row r="417" spans="1:14" x14ac:dyDescent="0.25">
      <c r="A417" s="171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72"/>
    </row>
    <row r="418" spans="1:14" ht="18.75" x14ac:dyDescent="0.25">
      <c r="A418" s="173" t="s">
        <v>291</v>
      </c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74"/>
    </row>
    <row r="419" spans="1:14" x14ac:dyDescent="0.25">
      <c r="A419" s="175" t="s">
        <v>292</v>
      </c>
      <c r="B419" s="150" t="s">
        <v>293</v>
      </c>
      <c r="C419" s="157" t="s">
        <v>294</v>
      </c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76"/>
    </row>
    <row r="420" spans="1:14" x14ac:dyDescent="0.25">
      <c r="A420" s="175"/>
      <c r="B420" s="150"/>
      <c r="C420" s="30" t="s">
        <v>295</v>
      </c>
      <c r="D420" s="30" t="s">
        <v>296</v>
      </c>
      <c r="E420" s="30" t="s">
        <v>297</v>
      </c>
      <c r="F420" s="30" t="s">
        <v>298</v>
      </c>
      <c r="G420" s="30" t="s">
        <v>299</v>
      </c>
      <c r="H420" s="30" t="s">
        <v>300</v>
      </c>
      <c r="I420" s="30" t="s">
        <v>301</v>
      </c>
      <c r="J420" s="30" t="s">
        <v>302</v>
      </c>
      <c r="K420" s="30" t="s">
        <v>303</v>
      </c>
      <c r="L420" s="30" t="s">
        <v>304</v>
      </c>
      <c r="M420" s="30" t="s">
        <v>305</v>
      </c>
      <c r="N420" s="42" t="s">
        <v>306</v>
      </c>
    </row>
    <row r="421" spans="1:14" x14ac:dyDescent="0.25">
      <c r="A421" s="87">
        <v>226</v>
      </c>
      <c r="B421" s="80" t="s">
        <v>575</v>
      </c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16"/>
    </row>
    <row r="422" spans="1:14" x14ac:dyDescent="0.25">
      <c r="A422" s="171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72"/>
    </row>
    <row r="423" spans="1:14" x14ac:dyDescent="0.25">
      <c r="A423" s="175" t="s">
        <v>292</v>
      </c>
      <c r="B423" s="150" t="s">
        <v>293</v>
      </c>
      <c r="C423" s="157" t="s">
        <v>308</v>
      </c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76"/>
    </row>
    <row r="424" spans="1:14" x14ac:dyDescent="0.25">
      <c r="A424" s="175"/>
      <c r="B424" s="150"/>
      <c r="C424" s="30" t="s">
        <v>295</v>
      </c>
      <c r="D424" s="30" t="s">
        <v>296</v>
      </c>
      <c r="E424" s="30" t="s">
        <v>297</v>
      </c>
      <c r="F424" s="30" t="s">
        <v>298</v>
      </c>
      <c r="G424" s="30" t="s">
        <v>299</v>
      </c>
      <c r="H424" s="30" t="s">
        <v>300</v>
      </c>
      <c r="I424" s="30" t="s">
        <v>301</v>
      </c>
      <c r="J424" s="30" t="s">
        <v>302</v>
      </c>
      <c r="K424" s="30" t="s">
        <v>303</v>
      </c>
      <c r="L424" s="30" t="s">
        <v>304</v>
      </c>
      <c r="M424" s="30" t="s">
        <v>305</v>
      </c>
      <c r="N424" s="42" t="s">
        <v>306</v>
      </c>
    </row>
    <row r="425" spans="1:14" x14ac:dyDescent="0.25">
      <c r="A425" s="87">
        <v>226</v>
      </c>
      <c r="B425" s="80" t="s">
        <v>575</v>
      </c>
      <c r="C425" s="91">
        <v>4.63</v>
      </c>
      <c r="D425" s="91">
        <v>4.3499999999999996</v>
      </c>
      <c r="E425" s="91">
        <v>4.42</v>
      </c>
      <c r="F425" s="91">
        <v>4.22</v>
      </c>
      <c r="G425" s="91">
        <v>4.03</v>
      </c>
      <c r="H425" s="91">
        <v>4.21</v>
      </c>
      <c r="I425" s="91">
        <v>4.91</v>
      </c>
      <c r="J425" s="91">
        <v>5.81</v>
      </c>
      <c r="K425" s="91">
        <v>5.83</v>
      </c>
      <c r="L425" s="91">
        <v>5.52</v>
      </c>
      <c r="M425" s="91">
        <v>5.21</v>
      </c>
      <c r="N425" s="92">
        <v>4.72</v>
      </c>
    </row>
    <row r="426" spans="1:14" x14ac:dyDescent="0.25">
      <c r="A426" s="171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72"/>
    </row>
    <row r="427" spans="1:14" ht="18.75" x14ac:dyDescent="0.25">
      <c r="A427" s="173" t="s">
        <v>309</v>
      </c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74"/>
    </row>
    <row r="428" spans="1:14" x14ac:dyDescent="0.25">
      <c r="A428" s="175" t="s">
        <v>292</v>
      </c>
      <c r="B428" s="150" t="s">
        <v>293</v>
      </c>
      <c r="C428" s="150" t="s">
        <v>1</v>
      </c>
      <c r="D428" s="150" t="s">
        <v>2</v>
      </c>
      <c r="E428" s="150" t="s">
        <v>310</v>
      </c>
      <c r="F428" s="150"/>
      <c r="G428" s="150"/>
      <c r="H428" s="150"/>
      <c r="I428" s="30"/>
      <c r="J428" s="30"/>
      <c r="K428" s="30"/>
      <c r="L428" s="30"/>
      <c r="M428" s="30"/>
      <c r="N428" s="42"/>
    </row>
    <row r="429" spans="1:14" x14ac:dyDescent="0.25">
      <c r="A429" s="175"/>
      <c r="B429" s="150"/>
      <c r="C429" s="150"/>
      <c r="D429" s="150"/>
      <c r="E429" s="30" t="s">
        <v>292</v>
      </c>
      <c r="F429" s="30" t="s">
        <v>293</v>
      </c>
      <c r="G429" s="30" t="s">
        <v>1</v>
      </c>
      <c r="H429" s="30" t="s">
        <v>2</v>
      </c>
      <c r="I429" s="30"/>
      <c r="J429" s="30"/>
      <c r="K429" s="30"/>
      <c r="L429" s="30"/>
      <c r="M429" s="30"/>
      <c r="N429" s="42"/>
    </row>
    <row r="430" spans="1:14" x14ac:dyDescent="0.25">
      <c r="A430" s="90" t="s">
        <v>572</v>
      </c>
      <c r="B430" s="80" t="s">
        <v>575</v>
      </c>
      <c r="C430" s="91">
        <v>-13.37</v>
      </c>
      <c r="D430" s="91">
        <v>-59.01</v>
      </c>
      <c r="E430" s="71"/>
      <c r="F430" s="71"/>
      <c r="G430" s="71"/>
      <c r="H430" s="71"/>
      <c r="I430" s="73"/>
      <c r="J430" s="73"/>
      <c r="K430" s="73"/>
      <c r="L430" s="73"/>
      <c r="M430" s="73"/>
      <c r="N430" s="74"/>
    </row>
    <row r="431" spans="1:14" x14ac:dyDescent="0.25">
      <c r="A431" s="171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72"/>
    </row>
    <row r="432" spans="1:14" ht="18.75" x14ac:dyDescent="0.25">
      <c r="A432" s="173" t="s">
        <v>311</v>
      </c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74"/>
    </row>
    <row r="433" spans="1:14" x14ac:dyDescent="0.25">
      <c r="A433" s="175" t="s">
        <v>292</v>
      </c>
      <c r="B433" s="150" t="s">
        <v>293</v>
      </c>
      <c r="C433" s="151" t="s">
        <v>312</v>
      </c>
      <c r="D433" s="152"/>
      <c r="E433" s="152"/>
      <c r="F433" s="153"/>
      <c r="G433" s="151" t="s">
        <v>313</v>
      </c>
      <c r="H433" s="152"/>
      <c r="I433" s="152"/>
      <c r="J433" s="153"/>
      <c r="K433" s="30"/>
      <c r="L433" s="30"/>
      <c r="M433" s="30"/>
      <c r="N433" s="42"/>
    </row>
    <row r="434" spans="1:14" x14ac:dyDescent="0.25">
      <c r="A434" s="175"/>
      <c r="B434" s="150"/>
      <c r="C434" s="154"/>
      <c r="D434" s="155"/>
      <c r="E434" s="155"/>
      <c r="F434" s="156"/>
      <c r="G434" s="154"/>
      <c r="H434" s="155"/>
      <c r="I434" s="155"/>
      <c r="J434" s="156"/>
      <c r="K434" s="30"/>
      <c r="L434" s="30"/>
      <c r="M434" s="30"/>
      <c r="N434" s="42"/>
    </row>
    <row r="435" spans="1:14" ht="15.75" thickBot="1" x14ac:dyDescent="0.3">
      <c r="A435" s="49"/>
      <c r="B435" s="50"/>
      <c r="C435" s="177"/>
      <c r="D435" s="177"/>
      <c r="E435" s="177"/>
      <c r="F435" s="177"/>
      <c r="G435" s="177"/>
      <c r="H435" s="177"/>
      <c r="I435" s="177"/>
      <c r="J435" s="177"/>
      <c r="K435" s="51"/>
      <c r="L435" s="51"/>
      <c r="M435" s="51"/>
      <c r="N435" s="52"/>
    </row>
    <row r="436" spans="1:14" ht="16.5" thickTop="1" thickBot="1" x14ac:dyDescent="0.3"/>
    <row r="437" spans="1:14" ht="19.5" thickTop="1" x14ac:dyDescent="0.25">
      <c r="A437" s="178" t="s">
        <v>576</v>
      </c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80"/>
    </row>
    <row r="438" spans="1:14" x14ac:dyDescent="0.25">
      <c r="A438" s="171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72"/>
    </row>
    <row r="439" spans="1:14" ht="18.75" x14ac:dyDescent="0.25">
      <c r="A439" s="173" t="s">
        <v>291</v>
      </c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74"/>
    </row>
    <row r="440" spans="1:14" x14ac:dyDescent="0.25">
      <c r="A440" s="175" t="s">
        <v>292</v>
      </c>
      <c r="B440" s="150" t="s">
        <v>293</v>
      </c>
      <c r="C440" s="157" t="s">
        <v>294</v>
      </c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76"/>
    </row>
    <row r="441" spans="1:14" x14ac:dyDescent="0.25">
      <c r="A441" s="175"/>
      <c r="B441" s="150"/>
      <c r="C441" s="30" t="s">
        <v>295</v>
      </c>
      <c r="D441" s="30" t="s">
        <v>296</v>
      </c>
      <c r="E441" s="30" t="s">
        <v>297</v>
      </c>
      <c r="F441" s="30" t="s">
        <v>298</v>
      </c>
      <c r="G441" s="30" t="s">
        <v>299</v>
      </c>
      <c r="H441" s="30" t="s">
        <v>300</v>
      </c>
      <c r="I441" s="30" t="s">
        <v>301</v>
      </c>
      <c r="J441" s="30" t="s">
        <v>302</v>
      </c>
      <c r="K441" s="30" t="s">
        <v>303</v>
      </c>
      <c r="L441" s="30" t="s">
        <v>304</v>
      </c>
      <c r="M441" s="30" t="s">
        <v>305</v>
      </c>
      <c r="N441" s="42" t="s">
        <v>306</v>
      </c>
    </row>
    <row r="442" spans="1:14" x14ac:dyDescent="0.25">
      <c r="A442" s="87">
        <v>225</v>
      </c>
      <c r="B442" s="80" t="s">
        <v>577</v>
      </c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16"/>
    </row>
    <row r="443" spans="1:14" x14ac:dyDescent="0.25">
      <c r="A443" s="171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72"/>
    </row>
    <row r="444" spans="1:14" x14ac:dyDescent="0.25">
      <c r="A444" s="175" t="s">
        <v>292</v>
      </c>
      <c r="B444" s="150" t="s">
        <v>293</v>
      </c>
      <c r="C444" s="157" t="s">
        <v>308</v>
      </c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76"/>
    </row>
    <row r="445" spans="1:14" x14ac:dyDescent="0.25">
      <c r="A445" s="175"/>
      <c r="B445" s="150"/>
      <c r="C445" s="30" t="s">
        <v>295</v>
      </c>
      <c r="D445" s="30" t="s">
        <v>296</v>
      </c>
      <c r="E445" s="30" t="s">
        <v>297</v>
      </c>
      <c r="F445" s="30" t="s">
        <v>298</v>
      </c>
      <c r="G445" s="30" t="s">
        <v>299</v>
      </c>
      <c r="H445" s="30" t="s">
        <v>300</v>
      </c>
      <c r="I445" s="30" t="s">
        <v>301</v>
      </c>
      <c r="J445" s="30" t="s">
        <v>302</v>
      </c>
      <c r="K445" s="30" t="s">
        <v>303</v>
      </c>
      <c r="L445" s="30" t="s">
        <v>304</v>
      </c>
      <c r="M445" s="30" t="s">
        <v>305</v>
      </c>
      <c r="N445" s="42" t="s">
        <v>306</v>
      </c>
    </row>
    <row r="446" spans="1:14" x14ac:dyDescent="0.25">
      <c r="A446" s="87">
        <v>225</v>
      </c>
      <c r="B446" s="80" t="s">
        <v>577</v>
      </c>
      <c r="C446" s="91">
        <v>4.3899999999999997</v>
      </c>
      <c r="D446" s="91">
        <v>4.0599999999999996</v>
      </c>
      <c r="E446" s="91">
        <v>4.05</v>
      </c>
      <c r="F446" s="91">
        <v>4.1100000000000003</v>
      </c>
      <c r="G446" s="91">
        <v>4.12</v>
      </c>
      <c r="H446" s="91">
        <v>4.53</v>
      </c>
      <c r="I446" s="91">
        <v>5.21</v>
      </c>
      <c r="J446" s="91">
        <v>6.01</v>
      </c>
      <c r="K446" s="91">
        <v>5.7</v>
      </c>
      <c r="L446" s="91">
        <v>5.51</v>
      </c>
      <c r="M446" s="91">
        <v>5.1100000000000003</v>
      </c>
      <c r="N446" s="92">
        <v>4.4800000000000004</v>
      </c>
    </row>
    <row r="447" spans="1:14" x14ac:dyDescent="0.25">
      <c r="A447" s="171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72"/>
    </row>
    <row r="448" spans="1:14" ht="18.75" x14ac:dyDescent="0.25">
      <c r="A448" s="173" t="s">
        <v>309</v>
      </c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74"/>
    </row>
    <row r="449" spans="1:14" x14ac:dyDescent="0.25">
      <c r="A449" s="175" t="s">
        <v>292</v>
      </c>
      <c r="B449" s="150" t="s">
        <v>293</v>
      </c>
      <c r="C449" s="150" t="s">
        <v>1</v>
      </c>
      <c r="D449" s="150" t="s">
        <v>2</v>
      </c>
      <c r="E449" s="150" t="s">
        <v>310</v>
      </c>
      <c r="F449" s="150"/>
      <c r="G449" s="150"/>
      <c r="H449" s="150"/>
      <c r="I449" s="30"/>
      <c r="J449" s="30"/>
      <c r="K449" s="30"/>
      <c r="L449" s="30"/>
      <c r="M449" s="30"/>
      <c r="N449" s="42"/>
    </row>
    <row r="450" spans="1:14" x14ac:dyDescent="0.25">
      <c r="A450" s="175"/>
      <c r="B450" s="150"/>
      <c r="C450" s="150"/>
      <c r="D450" s="150"/>
      <c r="E450" s="30" t="s">
        <v>292</v>
      </c>
      <c r="F450" s="30" t="s">
        <v>293</v>
      </c>
      <c r="G450" s="30" t="s">
        <v>1</v>
      </c>
      <c r="H450" s="30" t="s">
        <v>2</v>
      </c>
      <c r="I450" s="30"/>
      <c r="J450" s="30"/>
      <c r="K450" s="30"/>
      <c r="L450" s="30"/>
      <c r="M450" s="30"/>
      <c r="N450" s="42"/>
    </row>
    <row r="451" spans="1:14" x14ac:dyDescent="0.25">
      <c r="A451" s="90" t="s">
        <v>573</v>
      </c>
      <c r="B451" s="80" t="s">
        <v>577</v>
      </c>
      <c r="C451" s="91">
        <v>-10.34</v>
      </c>
      <c r="D451" s="91">
        <v>-56.98</v>
      </c>
      <c r="E451" s="71"/>
      <c r="F451" s="71"/>
      <c r="G451" s="71"/>
      <c r="H451" s="71"/>
      <c r="I451" s="73"/>
      <c r="J451" s="73"/>
      <c r="K451" s="73"/>
      <c r="L451" s="73"/>
      <c r="M451" s="73"/>
      <c r="N451" s="74"/>
    </row>
    <row r="452" spans="1:14" x14ac:dyDescent="0.25">
      <c r="A452" s="171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72"/>
    </row>
    <row r="453" spans="1:14" ht="18.75" x14ac:dyDescent="0.25">
      <c r="A453" s="173" t="s">
        <v>311</v>
      </c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74"/>
    </row>
    <row r="454" spans="1:14" x14ac:dyDescent="0.25">
      <c r="A454" s="175" t="s">
        <v>292</v>
      </c>
      <c r="B454" s="150" t="s">
        <v>293</v>
      </c>
      <c r="C454" s="151" t="s">
        <v>312</v>
      </c>
      <c r="D454" s="152"/>
      <c r="E454" s="152"/>
      <c r="F454" s="153"/>
      <c r="G454" s="151" t="s">
        <v>313</v>
      </c>
      <c r="H454" s="152"/>
      <c r="I454" s="152"/>
      <c r="J454" s="153"/>
      <c r="K454" s="30"/>
      <c r="L454" s="30"/>
      <c r="M454" s="30"/>
      <c r="N454" s="42"/>
    </row>
    <row r="455" spans="1:14" x14ac:dyDescent="0.25">
      <c r="A455" s="175"/>
      <c r="B455" s="150"/>
      <c r="C455" s="154"/>
      <c r="D455" s="155"/>
      <c r="E455" s="155"/>
      <c r="F455" s="156"/>
      <c r="G455" s="154"/>
      <c r="H455" s="155"/>
      <c r="I455" s="155"/>
      <c r="J455" s="156"/>
      <c r="K455" s="30"/>
      <c r="L455" s="30"/>
      <c r="M455" s="30"/>
      <c r="N455" s="42"/>
    </row>
    <row r="456" spans="1:14" ht="15.75" thickBot="1" x14ac:dyDescent="0.3">
      <c r="A456" s="49"/>
      <c r="B456" s="50"/>
      <c r="C456" s="177"/>
      <c r="D456" s="177"/>
      <c r="E456" s="177"/>
      <c r="F456" s="177"/>
      <c r="G456" s="177"/>
      <c r="H456" s="177"/>
      <c r="I456" s="177"/>
      <c r="J456" s="177"/>
      <c r="K456" s="51"/>
      <c r="L456" s="51"/>
      <c r="M456" s="51"/>
      <c r="N456" s="52"/>
    </row>
    <row r="457" spans="1:14" ht="16.5" thickTop="1" thickBot="1" x14ac:dyDescent="0.3"/>
    <row r="458" spans="1:14" ht="19.5" thickTop="1" x14ac:dyDescent="0.25">
      <c r="A458" s="178" t="s">
        <v>498</v>
      </c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80"/>
    </row>
    <row r="459" spans="1:14" x14ac:dyDescent="0.25">
      <c r="A459" s="171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72"/>
    </row>
    <row r="460" spans="1:14" ht="18.75" x14ac:dyDescent="0.25">
      <c r="A460" s="173" t="s">
        <v>291</v>
      </c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74"/>
    </row>
    <row r="461" spans="1:14" x14ac:dyDescent="0.25">
      <c r="A461" s="175" t="s">
        <v>292</v>
      </c>
      <c r="B461" s="150" t="s">
        <v>293</v>
      </c>
      <c r="C461" s="157" t="s">
        <v>294</v>
      </c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76"/>
    </row>
    <row r="462" spans="1:14" x14ac:dyDescent="0.25">
      <c r="A462" s="175"/>
      <c r="B462" s="150"/>
      <c r="C462" s="30" t="s">
        <v>295</v>
      </c>
      <c r="D462" s="30" t="s">
        <v>296</v>
      </c>
      <c r="E462" s="30" t="s">
        <v>297</v>
      </c>
      <c r="F462" s="30" t="s">
        <v>298</v>
      </c>
      <c r="G462" s="30" t="s">
        <v>299</v>
      </c>
      <c r="H462" s="30" t="s">
        <v>300</v>
      </c>
      <c r="I462" s="30" t="s">
        <v>301</v>
      </c>
      <c r="J462" s="30" t="s">
        <v>302</v>
      </c>
      <c r="K462" s="30" t="s">
        <v>303</v>
      </c>
      <c r="L462" s="30" t="s">
        <v>304</v>
      </c>
      <c r="M462" s="30" t="s">
        <v>305</v>
      </c>
      <c r="N462" s="42" t="s">
        <v>306</v>
      </c>
    </row>
    <row r="463" spans="1:14" x14ac:dyDescent="0.25">
      <c r="A463" s="87">
        <v>269</v>
      </c>
      <c r="B463" s="80" t="s">
        <v>183</v>
      </c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2"/>
    </row>
    <row r="464" spans="1:14" x14ac:dyDescent="0.25">
      <c r="A464" s="171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72"/>
    </row>
    <row r="465" spans="1:14" x14ac:dyDescent="0.25">
      <c r="A465" s="175" t="s">
        <v>292</v>
      </c>
      <c r="B465" s="150" t="s">
        <v>293</v>
      </c>
      <c r="C465" s="157" t="s">
        <v>308</v>
      </c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76"/>
    </row>
    <row r="466" spans="1:14" x14ac:dyDescent="0.25">
      <c r="A466" s="175"/>
      <c r="B466" s="150"/>
      <c r="C466" s="30" t="s">
        <v>295</v>
      </c>
      <c r="D466" s="30" t="s">
        <v>296</v>
      </c>
      <c r="E466" s="30" t="s">
        <v>297</v>
      </c>
      <c r="F466" s="30" t="s">
        <v>298</v>
      </c>
      <c r="G466" s="30" t="s">
        <v>299</v>
      </c>
      <c r="H466" s="30" t="s">
        <v>300</v>
      </c>
      <c r="I466" s="30" t="s">
        <v>301</v>
      </c>
      <c r="J466" s="30" t="s">
        <v>302</v>
      </c>
      <c r="K466" s="30" t="s">
        <v>303</v>
      </c>
      <c r="L466" s="30" t="s">
        <v>304</v>
      </c>
      <c r="M466" s="30" t="s">
        <v>305</v>
      </c>
      <c r="N466" s="42" t="s">
        <v>306</v>
      </c>
    </row>
    <row r="467" spans="1:14" x14ac:dyDescent="0.25">
      <c r="A467" s="87">
        <v>269</v>
      </c>
      <c r="B467" s="80" t="s">
        <v>183</v>
      </c>
      <c r="C467" s="91">
        <v>4.87</v>
      </c>
      <c r="D467" s="91">
        <v>5.18</v>
      </c>
      <c r="E467" s="91">
        <v>5.13</v>
      </c>
      <c r="F467" s="91">
        <v>4.93</v>
      </c>
      <c r="G467" s="91">
        <v>4.55</v>
      </c>
      <c r="H467" s="91">
        <v>4.33</v>
      </c>
      <c r="I467" s="91">
        <v>4.7699999999999996</v>
      </c>
      <c r="J467" s="91">
        <v>5.45</v>
      </c>
      <c r="K467" s="91">
        <v>5.47</v>
      </c>
      <c r="L467" s="91">
        <v>5.32</v>
      </c>
      <c r="M467" s="91">
        <v>5.03</v>
      </c>
      <c r="N467" s="92">
        <v>4.6500000000000004</v>
      </c>
    </row>
    <row r="468" spans="1:14" x14ac:dyDescent="0.25">
      <c r="A468" s="194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6"/>
    </row>
    <row r="469" spans="1:14" ht="18.75" x14ac:dyDescent="0.25">
      <c r="A469" s="173" t="s">
        <v>309</v>
      </c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74"/>
    </row>
    <row r="470" spans="1:14" x14ac:dyDescent="0.25">
      <c r="A470" s="175" t="s">
        <v>292</v>
      </c>
      <c r="B470" s="150" t="s">
        <v>293</v>
      </c>
      <c r="C470" s="150" t="s">
        <v>1</v>
      </c>
      <c r="D470" s="150" t="s">
        <v>2</v>
      </c>
      <c r="E470" s="150" t="s">
        <v>310</v>
      </c>
      <c r="F470" s="150"/>
      <c r="G470" s="150"/>
      <c r="H470" s="150"/>
      <c r="I470" s="30"/>
      <c r="J470" s="30"/>
      <c r="K470" s="30"/>
      <c r="L470" s="30"/>
      <c r="M470" s="30"/>
      <c r="N470" s="42"/>
    </row>
    <row r="471" spans="1:14" x14ac:dyDescent="0.25">
      <c r="A471" s="175"/>
      <c r="B471" s="150"/>
      <c r="C471" s="150"/>
      <c r="D471" s="150"/>
      <c r="E471" s="30" t="s">
        <v>292</v>
      </c>
      <c r="F471" s="30" t="s">
        <v>293</v>
      </c>
      <c r="G471" s="30" t="s">
        <v>1</v>
      </c>
      <c r="H471" s="30" t="s">
        <v>2</v>
      </c>
      <c r="I471" s="30"/>
      <c r="J471" s="30"/>
      <c r="K471" s="30"/>
      <c r="L471" s="30"/>
      <c r="M471" s="30"/>
      <c r="N471" s="42"/>
    </row>
    <row r="472" spans="1:14" x14ac:dyDescent="0.25">
      <c r="A472" s="87" t="s">
        <v>182</v>
      </c>
      <c r="B472" s="80" t="s">
        <v>183</v>
      </c>
      <c r="C472" s="85">
        <v>-1.92</v>
      </c>
      <c r="D472" s="85">
        <v>-59.47</v>
      </c>
      <c r="E472" s="85"/>
      <c r="F472" s="85"/>
      <c r="G472" s="85"/>
      <c r="H472" s="85"/>
      <c r="I472" s="116"/>
      <c r="J472" s="85"/>
      <c r="K472" s="85"/>
      <c r="L472" s="85"/>
      <c r="M472" s="85"/>
      <c r="N472" s="92"/>
    </row>
    <row r="473" spans="1:14" x14ac:dyDescent="0.25">
      <c r="A473" s="194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6"/>
    </row>
    <row r="474" spans="1:14" ht="18.75" x14ac:dyDescent="0.25">
      <c r="A474" s="173" t="s">
        <v>311</v>
      </c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74"/>
    </row>
    <row r="475" spans="1:14" x14ac:dyDescent="0.25">
      <c r="A475" s="175" t="s">
        <v>292</v>
      </c>
      <c r="B475" s="150" t="s">
        <v>293</v>
      </c>
      <c r="C475" s="151" t="s">
        <v>312</v>
      </c>
      <c r="D475" s="152"/>
      <c r="E475" s="152"/>
      <c r="F475" s="153"/>
      <c r="G475" s="151" t="s">
        <v>313</v>
      </c>
      <c r="H475" s="152"/>
      <c r="I475" s="152"/>
      <c r="J475" s="153"/>
      <c r="K475" s="30"/>
      <c r="L475" s="30"/>
      <c r="M475" s="30"/>
      <c r="N475" s="42"/>
    </row>
    <row r="476" spans="1:14" x14ac:dyDescent="0.25">
      <c r="A476" s="175"/>
      <c r="B476" s="150"/>
      <c r="C476" s="154"/>
      <c r="D476" s="155"/>
      <c r="E476" s="155"/>
      <c r="F476" s="156"/>
      <c r="G476" s="154"/>
      <c r="H476" s="155"/>
      <c r="I476" s="155"/>
      <c r="J476" s="156"/>
      <c r="K476" s="30"/>
      <c r="L476" s="30"/>
      <c r="M476" s="30"/>
      <c r="N476" s="42"/>
    </row>
    <row r="477" spans="1:14" ht="15.75" thickBot="1" x14ac:dyDescent="0.3">
      <c r="A477" s="49"/>
      <c r="B477" s="50"/>
      <c r="C477" s="177"/>
      <c r="D477" s="177"/>
      <c r="E477" s="177"/>
      <c r="F477" s="177"/>
      <c r="G477" s="177"/>
      <c r="H477" s="177"/>
      <c r="I477" s="177"/>
      <c r="J477" s="177"/>
      <c r="K477" s="51"/>
      <c r="L477" s="51"/>
      <c r="M477" s="51"/>
      <c r="N477" s="52"/>
    </row>
    <row r="478" spans="1:14" ht="16.5" thickTop="1" thickBot="1" x14ac:dyDescent="0.3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</row>
    <row r="479" spans="1:14" ht="19.5" thickTop="1" x14ac:dyDescent="0.25">
      <c r="A479" s="178" t="s">
        <v>499</v>
      </c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80"/>
    </row>
    <row r="480" spans="1:14" x14ac:dyDescent="0.25">
      <c r="A480" s="171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72"/>
    </row>
    <row r="481" spans="1:14" ht="18.75" x14ac:dyDescent="0.25">
      <c r="A481" s="173" t="s">
        <v>291</v>
      </c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74"/>
    </row>
    <row r="482" spans="1:14" x14ac:dyDescent="0.25">
      <c r="A482" s="175" t="s">
        <v>292</v>
      </c>
      <c r="B482" s="150" t="s">
        <v>293</v>
      </c>
      <c r="C482" s="157" t="s">
        <v>294</v>
      </c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76"/>
    </row>
    <row r="483" spans="1:14" x14ac:dyDescent="0.25">
      <c r="A483" s="175"/>
      <c r="B483" s="150"/>
      <c r="C483" s="30" t="s">
        <v>295</v>
      </c>
      <c r="D483" s="30" t="s">
        <v>296</v>
      </c>
      <c r="E483" s="30" t="s">
        <v>297</v>
      </c>
      <c r="F483" s="30" t="s">
        <v>298</v>
      </c>
      <c r="G483" s="30" t="s">
        <v>299</v>
      </c>
      <c r="H483" s="30" t="s">
        <v>300</v>
      </c>
      <c r="I483" s="30" t="s">
        <v>301</v>
      </c>
      <c r="J483" s="30" t="s">
        <v>302</v>
      </c>
      <c r="K483" s="30" t="s">
        <v>303</v>
      </c>
      <c r="L483" s="30" t="s">
        <v>304</v>
      </c>
      <c r="M483" s="30" t="s">
        <v>305</v>
      </c>
      <c r="N483" s="42" t="s">
        <v>306</v>
      </c>
    </row>
    <row r="484" spans="1:14" x14ac:dyDescent="0.25">
      <c r="A484" s="87">
        <v>277</v>
      </c>
      <c r="B484" s="80" t="s">
        <v>185</v>
      </c>
      <c r="C484" s="85"/>
      <c r="D484" s="85"/>
      <c r="E484" s="85"/>
      <c r="F484" s="85"/>
      <c r="G484" s="85"/>
      <c r="H484" s="85"/>
      <c r="I484" s="116"/>
      <c r="J484" s="85"/>
      <c r="K484" s="85"/>
      <c r="L484" s="85"/>
      <c r="M484" s="85"/>
      <c r="N484" s="92"/>
    </row>
    <row r="485" spans="1:14" x14ac:dyDescent="0.25">
      <c r="A485" s="171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72"/>
    </row>
    <row r="486" spans="1:14" x14ac:dyDescent="0.25">
      <c r="A486" s="175" t="s">
        <v>292</v>
      </c>
      <c r="B486" s="150" t="s">
        <v>293</v>
      </c>
      <c r="C486" s="157" t="s">
        <v>308</v>
      </c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76"/>
    </row>
    <row r="487" spans="1:14" x14ac:dyDescent="0.25">
      <c r="A487" s="175"/>
      <c r="B487" s="150"/>
      <c r="C487" s="30" t="s">
        <v>295</v>
      </c>
      <c r="D487" s="30" t="s">
        <v>296</v>
      </c>
      <c r="E487" s="30" t="s">
        <v>297</v>
      </c>
      <c r="F487" s="30" t="s">
        <v>298</v>
      </c>
      <c r="G487" s="30" t="s">
        <v>299</v>
      </c>
      <c r="H487" s="30" t="s">
        <v>300</v>
      </c>
      <c r="I487" s="30" t="s">
        <v>301</v>
      </c>
      <c r="J487" s="30" t="s">
        <v>302</v>
      </c>
      <c r="K487" s="30" t="s">
        <v>303</v>
      </c>
      <c r="L487" s="30" t="s">
        <v>304</v>
      </c>
      <c r="M487" s="30" t="s">
        <v>305</v>
      </c>
      <c r="N487" s="42" t="s">
        <v>306</v>
      </c>
    </row>
    <row r="488" spans="1:14" x14ac:dyDescent="0.25">
      <c r="A488" s="87">
        <v>277</v>
      </c>
      <c r="B488" s="80" t="s">
        <v>185</v>
      </c>
      <c r="C488" s="91">
        <v>4.9000000000000004</v>
      </c>
      <c r="D488" s="91">
        <v>5.21</v>
      </c>
      <c r="E488" s="91">
        <v>5.13</v>
      </c>
      <c r="F488" s="91">
        <v>4.97</v>
      </c>
      <c r="G488" s="91">
        <v>4.6100000000000003</v>
      </c>
      <c r="H488" s="91">
        <v>4.43</v>
      </c>
      <c r="I488" s="91">
        <v>4.84</v>
      </c>
      <c r="J488" s="91">
        <v>5.58</v>
      </c>
      <c r="K488" s="91">
        <v>5.57</v>
      </c>
      <c r="L488" s="91">
        <v>5.39</v>
      </c>
      <c r="M488" s="91">
        <v>5.07</v>
      </c>
      <c r="N488" s="92">
        <v>4.68</v>
      </c>
    </row>
    <row r="489" spans="1:14" x14ac:dyDescent="0.25">
      <c r="A489" s="171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72"/>
    </row>
    <row r="490" spans="1:14" ht="18.75" x14ac:dyDescent="0.25">
      <c r="A490" s="173" t="s">
        <v>309</v>
      </c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74"/>
    </row>
    <row r="491" spans="1:14" x14ac:dyDescent="0.25">
      <c r="A491" s="175" t="s">
        <v>292</v>
      </c>
      <c r="B491" s="150" t="s">
        <v>293</v>
      </c>
      <c r="C491" s="150" t="s">
        <v>1</v>
      </c>
      <c r="D491" s="150" t="s">
        <v>2</v>
      </c>
      <c r="E491" s="150" t="s">
        <v>310</v>
      </c>
      <c r="F491" s="150"/>
      <c r="G491" s="150"/>
      <c r="H491" s="150"/>
      <c r="I491" s="30"/>
      <c r="J491" s="30"/>
      <c r="K491" s="30"/>
      <c r="L491" s="30"/>
      <c r="M491" s="30"/>
      <c r="N491" s="42"/>
    </row>
    <row r="492" spans="1:14" x14ac:dyDescent="0.25">
      <c r="A492" s="175"/>
      <c r="B492" s="150"/>
      <c r="C492" s="150"/>
      <c r="D492" s="150"/>
      <c r="E492" s="30" t="s">
        <v>292</v>
      </c>
      <c r="F492" s="30" t="s">
        <v>293</v>
      </c>
      <c r="G492" s="30" t="s">
        <v>1</v>
      </c>
      <c r="H492" s="30" t="s">
        <v>2</v>
      </c>
      <c r="I492" s="30"/>
      <c r="J492" s="30"/>
      <c r="K492" s="30"/>
      <c r="L492" s="30"/>
      <c r="M492" s="30"/>
      <c r="N492" s="42"/>
    </row>
    <row r="493" spans="1:14" x14ac:dyDescent="0.25">
      <c r="A493" s="90" t="s">
        <v>184</v>
      </c>
      <c r="B493" s="80" t="s">
        <v>185</v>
      </c>
      <c r="C493" s="85">
        <v>-2.82</v>
      </c>
      <c r="D493" s="85">
        <v>-54.3</v>
      </c>
      <c r="E493" s="71"/>
      <c r="F493" s="71"/>
      <c r="G493" s="71"/>
      <c r="H493" s="71"/>
      <c r="I493" s="73"/>
      <c r="J493" s="73"/>
      <c r="K493" s="73"/>
      <c r="L493" s="73"/>
      <c r="M493" s="73"/>
      <c r="N493" s="74"/>
    </row>
    <row r="494" spans="1:14" x14ac:dyDescent="0.25">
      <c r="A494" s="171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72"/>
    </row>
    <row r="495" spans="1:14" ht="18.75" x14ac:dyDescent="0.25">
      <c r="A495" s="173" t="s">
        <v>311</v>
      </c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74"/>
    </row>
    <row r="496" spans="1:14" x14ac:dyDescent="0.25">
      <c r="A496" s="175" t="s">
        <v>292</v>
      </c>
      <c r="B496" s="150" t="s">
        <v>293</v>
      </c>
      <c r="C496" s="151" t="s">
        <v>312</v>
      </c>
      <c r="D496" s="152"/>
      <c r="E496" s="152"/>
      <c r="F496" s="153"/>
      <c r="G496" s="151" t="s">
        <v>313</v>
      </c>
      <c r="H496" s="152"/>
      <c r="I496" s="152"/>
      <c r="J496" s="153"/>
      <c r="K496" s="30"/>
      <c r="L496" s="30"/>
      <c r="M496" s="30"/>
      <c r="N496" s="42"/>
    </row>
    <row r="497" spans="1:14" x14ac:dyDescent="0.25">
      <c r="A497" s="175"/>
      <c r="B497" s="150"/>
      <c r="C497" s="154"/>
      <c r="D497" s="155"/>
      <c r="E497" s="155"/>
      <c r="F497" s="156"/>
      <c r="G497" s="154"/>
      <c r="H497" s="155"/>
      <c r="I497" s="155"/>
      <c r="J497" s="156"/>
      <c r="K497" s="30"/>
      <c r="L497" s="30"/>
      <c r="M497" s="30"/>
      <c r="N497" s="42"/>
    </row>
    <row r="498" spans="1:14" x14ac:dyDescent="0.25">
      <c r="A498" s="15"/>
      <c r="B498" s="5"/>
      <c r="C498" s="164"/>
      <c r="D498" s="164"/>
      <c r="E498" s="164"/>
      <c r="F498" s="164"/>
      <c r="G498" s="164"/>
      <c r="H498" s="164"/>
      <c r="I498" s="164"/>
      <c r="J498" s="164"/>
      <c r="K498" s="35"/>
      <c r="L498" s="35"/>
      <c r="M498" s="35"/>
      <c r="N498" s="16"/>
    </row>
    <row r="499" spans="1:14" ht="15.75" thickBot="1" x14ac:dyDescent="0.3">
      <c r="A499" s="171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72"/>
    </row>
    <row r="500" spans="1:14" ht="19.5" thickTop="1" x14ac:dyDescent="0.25">
      <c r="A500" s="178" t="s">
        <v>500</v>
      </c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80"/>
    </row>
    <row r="501" spans="1:14" x14ac:dyDescent="0.25">
      <c r="A501" s="171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72"/>
    </row>
    <row r="502" spans="1:14" ht="18.75" x14ac:dyDescent="0.25">
      <c r="A502" s="173" t="s">
        <v>291</v>
      </c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74"/>
    </row>
    <row r="503" spans="1:14" x14ac:dyDescent="0.25">
      <c r="A503" s="175" t="s">
        <v>292</v>
      </c>
      <c r="B503" s="150" t="s">
        <v>293</v>
      </c>
      <c r="C503" s="157" t="s">
        <v>294</v>
      </c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76"/>
    </row>
    <row r="504" spans="1:14" x14ac:dyDescent="0.25">
      <c r="A504" s="175"/>
      <c r="B504" s="150"/>
      <c r="C504" s="30" t="s">
        <v>295</v>
      </c>
      <c r="D504" s="30" t="s">
        <v>296</v>
      </c>
      <c r="E504" s="30" t="s">
        <v>297</v>
      </c>
      <c r="F504" s="30" t="s">
        <v>298</v>
      </c>
      <c r="G504" s="30" t="s">
        <v>299</v>
      </c>
      <c r="H504" s="30" t="s">
        <v>300</v>
      </c>
      <c r="I504" s="30" t="s">
        <v>301</v>
      </c>
      <c r="J504" s="30" t="s">
        <v>302</v>
      </c>
      <c r="K504" s="30" t="s">
        <v>303</v>
      </c>
      <c r="L504" s="30" t="s">
        <v>304</v>
      </c>
      <c r="M504" s="30" t="s">
        <v>305</v>
      </c>
      <c r="N504" s="42" t="s">
        <v>306</v>
      </c>
    </row>
    <row r="505" spans="1:14" x14ac:dyDescent="0.25">
      <c r="A505" s="87">
        <v>290</v>
      </c>
      <c r="B505" s="80" t="s">
        <v>280</v>
      </c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92"/>
    </row>
    <row r="506" spans="1:14" x14ac:dyDescent="0.25">
      <c r="A506" s="171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72"/>
    </row>
    <row r="507" spans="1:14" x14ac:dyDescent="0.25">
      <c r="A507" s="175" t="s">
        <v>292</v>
      </c>
      <c r="B507" s="150" t="s">
        <v>293</v>
      </c>
      <c r="C507" s="157" t="s">
        <v>308</v>
      </c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76"/>
    </row>
    <row r="508" spans="1:14" x14ac:dyDescent="0.25">
      <c r="A508" s="175"/>
      <c r="B508" s="150"/>
      <c r="C508" s="30" t="s">
        <v>295</v>
      </c>
      <c r="D508" s="30" t="s">
        <v>296</v>
      </c>
      <c r="E508" s="30" t="s">
        <v>297</v>
      </c>
      <c r="F508" s="30" t="s">
        <v>298</v>
      </c>
      <c r="G508" s="30" t="s">
        <v>299</v>
      </c>
      <c r="H508" s="30" t="s">
        <v>300</v>
      </c>
      <c r="I508" s="30" t="s">
        <v>301</v>
      </c>
      <c r="J508" s="30" t="s">
        <v>302</v>
      </c>
      <c r="K508" s="30" t="s">
        <v>303</v>
      </c>
      <c r="L508" s="30" t="s">
        <v>304</v>
      </c>
      <c r="M508" s="30" t="s">
        <v>305</v>
      </c>
      <c r="N508" s="42" t="s">
        <v>306</v>
      </c>
    </row>
    <row r="509" spans="1:14" x14ac:dyDescent="0.25">
      <c r="A509" s="87">
        <v>290</v>
      </c>
      <c r="B509" s="80" t="s">
        <v>280</v>
      </c>
      <c r="C509" s="91">
        <v>4.87</v>
      </c>
      <c r="D509" s="91">
        <v>5.21</v>
      </c>
      <c r="E509" s="91">
        <v>5.16</v>
      </c>
      <c r="F509" s="91">
        <v>5</v>
      </c>
      <c r="G509" s="91">
        <v>4.68</v>
      </c>
      <c r="H509" s="91">
        <v>4.5</v>
      </c>
      <c r="I509" s="91">
        <v>4.9400000000000004</v>
      </c>
      <c r="J509" s="91">
        <v>5.68</v>
      </c>
      <c r="K509" s="91">
        <v>5.63</v>
      </c>
      <c r="L509" s="91">
        <v>5.35</v>
      </c>
      <c r="M509" s="91">
        <v>5</v>
      </c>
      <c r="N509" s="92">
        <v>4.6100000000000003</v>
      </c>
    </row>
    <row r="510" spans="1:14" x14ac:dyDescent="0.25">
      <c r="A510" s="171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72"/>
    </row>
    <row r="511" spans="1:14" ht="18.75" x14ac:dyDescent="0.25">
      <c r="A511" s="173" t="s">
        <v>309</v>
      </c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74"/>
    </row>
    <row r="512" spans="1:14" x14ac:dyDescent="0.25">
      <c r="A512" s="175" t="s">
        <v>292</v>
      </c>
      <c r="B512" s="150" t="s">
        <v>293</v>
      </c>
      <c r="C512" s="150" t="s">
        <v>1</v>
      </c>
      <c r="D512" s="150" t="s">
        <v>2</v>
      </c>
      <c r="E512" s="150" t="s">
        <v>310</v>
      </c>
      <c r="F512" s="150"/>
      <c r="G512" s="150"/>
      <c r="H512" s="150"/>
      <c r="I512" s="30"/>
      <c r="J512" s="30"/>
      <c r="K512" s="30"/>
      <c r="L512" s="30"/>
      <c r="M512" s="30"/>
      <c r="N512" s="42"/>
    </row>
    <row r="513" spans="1:14" x14ac:dyDescent="0.25">
      <c r="A513" s="175"/>
      <c r="B513" s="150"/>
      <c r="C513" s="150"/>
      <c r="D513" s="150"/>
      <c r="E513" s="30" t="s">
        <v>292</v>
      </c>
      <c r="F513" s="30" t="s">
        <v>293</v>
      </c>
      <c r="G513" s="30" t="s">
        <v>1</v>
      </c>
      <c r="H513" s="30" t="s">
        <v>2</v>
      </c>
      <c r="I513" s="30"/>
      <c r="J513" s="30"/>
      <c r="K513" s="30"/>
      <c r="L513" s="30"/>
      <c r="M513" s="30"/>
      <c r="N513" s="42"/>
    </row>
    <row r="514" spans="1:14" x14ac:dyDescent="0.25">
      <c r="A514" s="90" t="s">
        <v>186</v>
      </c>
      <c r="B514" s="80" t="s">
        <v>501</v>
      </c>
      <c r="C514" s="85">
        <v>-0.65</v>
      </c>
      <c r="D514" s="85">
        <v>-52.52</v>
      </c>
      <c r="E514" s="71"/>
      <c r="F514" s="71"/>
      <c r="G514" s="71"/>
      <c r="H514" s="71"/>
      <c r="I514" s="73"/>
      <c r="J514" s="73"/>
      <c r="K514" s="73"/>
      <c r="L514" s="73"/>
      <c r="M514" s="73"/>
      <c r="N514" s="74"/>
    </row>
    <row r="515" spans="1:14" x14ac:dyDescent="0.25">
      <c r="A515" s="171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72"/>
    </row>
    <row r="516" spans="1:14" ht="18.75" x14ac:dyDescent="0.25">
      <c r="A516" s="173" t="s">
        <v>311</v>
      </c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74"/>
    </row>
    <row r="517" spans="1:14" x14ac:dyDescent="0.25">
      <c r="A517" s="175" t="s">
        <v>292</v>
      </c>
      <c r="B517" s="150" t="s">
        <v>293</v>
      </c>
      <c r="C517" s="151" t="s">
        <v>312</v>
      </c>
      <c r="D517" s="152"/>
      <c r="E517" s="152"/>
      <c r="F517" s="153"/>
      <c r="G517" s="151" t="s">
        <v>313</v>
      </c>
      <c r="H517" s="152"/>
      <c r="I517" s="152"/>
      <c r="J517" s="153"/>
      <c r="K517" s="30"/>
      <c r="L517" s="30"/>
      <c r="M517" s="30"/>
      <c r="N517" s="42"/>
    </row>
    <row r="518" spans="1:14" x14ac:dyDescent="0.25">
      <c r="A518" s="175"/>
      <c r="B518" s="150"/>
      <c r="C518" s="154"/>
      <c r="D518" s="155"/>
      <c r="E518" s="155"/>
      <c r="F518" s="156"/>
      <c r="G518" s="154"/>
      <c r="H518" s="155"/>
      <c r="I518" s="155"/>
      <c r="J518" s="156"/>
      <c r="K518" s="30"/>
      <c r="L518" s="30"/>
      <c r="M518" s="30"/>
      <c r="N518" s="42"/>
    </row>
    <row r="519" spans="1:14" ht="15.75" thickBot="1" x14ac:dyDescent="0.3">
      <c r="A519" s="49"/>
      <c r="B519" s="50"/>
      <c r="C519" s="177"/>
      <c r="D519" s="177"/>
      <c r="E519" s="177"/>
      <c r="F519" s="177"/>
      <c r="G519" s="177"/>
      <c r="H519" s="177"/>
      <c r="I519" s="177"/>
      <c r="J519" s="177"/>
      <c r="K519" s="51"/>
      <c r="L519" s="51"/>
      <c r="M519" s="51"/>
      <c r="N519" s="52"/>
    </row>
    <row r="520" spans="1:14" ht="19.5" thickTop="1" x14ac:dyDescent="0.25">
      <c r="A520" s="178" t="s">
        <v>502</v>
      </c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80"/>
    </row>
    <row r="521" spans="1:14" x14ac:dyDescent="0.25">
      <c r="A521" s="171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72"/>
    </row>
    <row r="522" spans="1:14" ht="18.75" x14ac:dyDescent="0.25">
      <c r="A522" s="173" t="s">
        <v>291</v>
      </c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74"/>
    </row>
    <row r="523" spans="1:14" x14ac:dyDescent="0.25">
      <c r="A523" s="175" t="s">
        <v>292</v>
      </c>
      <c r="B523" s="150" t="s">
        <v>293</v>
      </c>
      <c r="C523" s="157" t="s">
        <v>294</v>
      </c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76"/>
    </row>
    <row r="524" spans="1:14" x14ac:dyDescent="0.25">
      <c r="A524" s="175"/>
      <c r="B524" s="150"/>
      <c r="C524" s="30" t="s">
        <v>295</v>
      </c>
      <c r="D524" s="30" t="s">
        <v>296</v>
      </c>
      <c r="E524" s="30" t="s">
        <v>297</v>
      </c>
      <c r="F524" s="30" t="s">
        <v>298</v>
      </c>
      <c r="G524" s="30" t="s">
        <v>299</v>
      </c>
      <c r="H524" s="30" t="s">
        <v>300</v>
      </c>
      <c r="I524" s="30" t="s">
        <v>301</v>
      </c>
      <c r="J524" s="30" t="s">
        <v>302</v>
      </c>
      <c r="K524" s="30" t="s">
        <v>303</v>
      </c>
      <c r="L524" s="30" t="s">
        <v>304</v>
      </c>
      <c r="M524" s="30" t="s">
        <v>305</v>
      </c>
      <c r="N524" s="42" t="s">
        <v>306</v>
      </c>
    </row>
    <row r="525" spans="1:14" x14ac:dyDescent="0.25">
      <c r="A525" s="87">
        <v>297</v>
      </c>
      <c r="B525" s="80" t="s">
        <v>189</v>
      </c>
      <c r="C525" s="85">
        <v>8.0000000000000002E-3</v>
      </c>
      <c r="D525" s="85">
        <v>8.0000000000000002E-3</v>
      </c>
      <c r="E525" s="85">
        <v>8.0000000000000002E-3</v>
      </c>
      <c r="F525" s="85">
        <v>8.0000000000000002E-3</v>
      </c>
      <c r="G525" s="85">
        <v>8.0000000000000002E-3</v>
      </c>
      <c r="H525" s="85">
        <v>8.0000000000000002E-3</v>
      </c>
      <c r="I525" s="85">
        <v>8.0000000000000002E-3</v>
      </c>
      <c r="J525" s="85">
        <v>8.0000000000000002E-3</v>
      </c>
      <c r="K525" s="85">
        <v>8.0000000000000002E-3</v>
      </c>
      <c r="L525" s="85">
        <v>8.0000000000000002E-3</v>
      </c>
      <c r="M525" s="85">
        <v>8.0000000000000002E-3</v>
      </c>
      <c r="N525" s="86">
        <v>8.0000000000000002E-3</v>
      </c>
    </row>
    <row r="526" spans="1:14" x14ac:dyDescent="0.25">
      <c r="A526" s="112">
        <v>204</v>
      </c>
      <c r="B526" s="82" t="s">
        <v>503</v>
      </c>
      <c r="C526" s="113">
        <v>0.98899999999999999</v>
      </c>
      <c r="D526" s="113">
        <v>0.98899999999999999</v>
      </c>
      <c r="E526" s="113">
        <v>0.98899999999999999</v>
      </c>
      <c r="F526" s="113">
        <v>0.98899999999999999</v>
      </c>
      <c r="G526" s="113">
        <v>0.98899999999999999</v>
      </c>
      <c r="H526" s="113">
        <v>0.98899999999999999</v>
      </c>
      <c r="I526" s="113">
        <v>0.98899999999999999</v>
      </c>
      <c r="J526" s="113">
        <v>0.98899999999999999</v>
      </c>
      <c r="K526" s="113">
        <v>0.98899999999999999</v>
      </c>
      <c r="L526" s="113">
        <v>0.98899999999999999</v>
      </c>
      <c r="M526" s="113">
        <v>0.98899999999999999</v>
      </c>
      <c r="N526" s="127">
        <v>0.98899999999999999</v>
      </c>
    </row>
    <row r="527" spans="1:14" x14ac:dyDescent="0.25">
      <c r="A527" s="87">
        <v>280</v>
      </c>
      <c r="B527" s="80" t="s">
        <v>504</v>
      </c>
      <c r="C527" s="85">
        <v>3.0000000000000001E-3</v>
      </c>
      <c r="D527" s="85">
        <v>3.0000000000000001E-3</v>
      </c>
      <c r="E527" s="85">
        <v>3.0000000000000001E-3</v>
      </c>
      <c r="F527" s="85">
        <v>3.0000000000000001E-3</v>
      </c>
      <c r="G527" s="85">
        <v>3.0000000000000001E-3</v>
      </c>
      <c r="H527" s="85">
        <v>3.0000000000000001E-3</v>
      </c>
      <c r="I527" s="85">
        <v>3.0000000000000001E-3</v>
      </c>
      <c r="J527" s="85">
        <v>3.0000000000000001E-3</v>
      </c>
      <c r="K527" s="85">
        <v>3.0000000000000001E-3</v>
      </c>
      <c r="L527" s="85">
        <v>3.0000000000000001E-3</v>
      </c>
      <c r="M527" s="85">
        <v>3.0000000000000001E-3</v>
      </c>
      <c r="N527" s="86">
        <v>3.0000000000000001E-3</v>
      </c>
    </row>
    <row r="528" spans="1:14" x14ac:dyDescent="0.25">
      <c r="A528" s="171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72"/>
    </row>
    <row r="529" spans="1:14" x14ac:dyDescent="0.25">
      <c r="A529" s="175" t="s">
        <v>292</v>
      </c>
      <c r="B529" s="150" t="s">
        <v>293</v>
      </c>
      <c r="C529" s="157" t="s">
        <v>308</v>
      </c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76"/>
    </row>
    <row r="530" spans="1:14" x14ac:dyDescent="0.25">
      <c r="A530" s="175"/>
      <c r="B530" s="150"/>
      <c r="C530" s="30" t="s">
        <v>295</v>
      </c>
      <c r="D530" s="30" t="s">
        <v>296</v>
      </c>
      <c r="E530" s="30" t="s">
        <v>297</v>
      </c>
      <c r="F530" s="30" t="s">
        <v>298</v>
      </c>
      <c r="G530" s="30" t="s">
        <v>299</v>
      </c>
      <c r="H530" s="30" t="s">
        <v>300</v>
      </c>
      <c r="I530" s="30" t="s">
        <v>301</v>
      </c>
      <c r="J530" s="30" t="s">
        <v>302</v>
      </c>
      <c r="K530" s="30" t="s">
        <v>303</v>
      </c>
      <c r="L530" s="30" t="s">
        <v>304</v>
      </c>
      <c r="M530" s="30" t="s">
        <v>305</v>
      </c>
      <c r="N530" s="42" t="s">
        <v>306</v>
      </c>
    </row>
    <row r="531" spans="1:14" x14ac:dyDescent="0.25">
      <c r="A531" s="87">
        <v>297</v>
      </c>
      <c r="B531" s="80" t="s">
        <v>189</v>
      </c>
      <c r="C531" s="91">
        <v>4.87</v>
      </c>
      <c r="D531" s="91">
        <v>5.21</v>
      </c>
      <c r="E531" s="91">
        <v>5.16</v>
      </c>
      <c r="F531" s="91">
        <v>5</v>
      </c>
      <c r="G531" s="91">
        <v>4.68</v>
      </c>
      <c r="H531" s="91">
        <v>4.5</v>
      </c>
      <c r="I531" s="91">
        <v>4.9400000000000004</v>
      </c>
      <c r="J531" s="91">
        <v>5.68</v>
      </c>
      <c r="K531" s="91">
        <v>5.63</v>
      </c>
      <c r="L531" s="91">
        <v>5.35</v>
      </c>
      <c r="M531" s="91">
        <v>5</v>
      </c>
      <c r="N531" s="92">
        <v>4.6100000000000003</v>
      </c>
    </row>
    <row r="532" spans="1:14" x14ac:dyDescent="0.25">
      <c r="A532" s="171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72"/>
    </row>
    <row r="533" spans="1:14" ht="18.75" x14ac:dyDescent="0.25">
      <c r="A533" s="173" t="s">
        <v>309</v>
      </c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74"/>
    </row>
    <row r="534" spans="1:14" x14ac:dyDescent="0.25">
      <c r="A534" s="175" t="s">
        <v>292</v>
      </c>
      <c r="B534" s="150" t="s">
        <v>293</v>
      </c>
      <c r="C534" s="150" t="s">
        <v>1</v>
      </c>
      <c r="D534" s="150" t="s">
        <v>2</v>
      </c>
      <c r="E534" s="150" t="s">
        <v>310</v>
      </c>
      <c r="F534" s="150"/>
      <c r="G534" s="150"/>
      <c r="H534" s="150"/>
      <c r="I534" s="30"/>
      <c r="J534" s="30"/>
      <c r="K534" s="30"/>
      <c r="L534" s="30"/>
      <c r="M534" s="30"/>
      <c r="N534" s="42"/>
    </row>
    <row r="535" spans="1:14" x14ac:dyDescent="0.25">
      <c r="A535" s="175"/>
      <c r="B535" s="150"/>
      <c r="C535" s="150"/>
      <c r="D535" s="150"/>
      <c r="E535" s="30" t="s">
        <v>292</v>
      </c>
      <c r="F535" s="30" t="s">
        <v>293</v>
      </c>
      <c r="G535" s="30" t="s">
        <v>1</v>
      </c>
      <c r="H535" s="30" t="s">
        <v>2</v>
      </c>
      <c r="I535" s="30"/>
      <c r="J535" s="30"/>
      <c r="K535" s="30"/>
      <c r="L535" s="30"/>
      <c r="M535" s="30"/>
      <c r="N535" s="42"/>
    </row>
    <row r="536" spans="1:14" x14ac:dyDescent="0.25">
      <c r="A536" s="90" t="s">
        <v>188</v>
      </c>
      <c r="B536" s="80" t="s">
        <v>505</v>
      </c>
      <c r="C536" s="85">
        <v>0.86</v>
      </c>
      <c r="D536" s="85">
        <v>-51.2</v>
      </c>
      <c r="E536" s="71"/>
      <c r="F536" s="71"/>
      <c r="G536" s="71"/>
      <c r="H536" s="71"/>
      <c r="I536" s="73"/>
      <c r="J536" s="73"/>
      <c r="K536" s="73"/>
      <c r="L536" s="73"/>
      <c r="M536" s="73"/>
      <c r="N536" s="74"/>
    </row>
    <row r="537" spans="1:14" x14ac:dyDescent="0.25">
      <c r="A537" s="171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72"/>
    </row>
    <row r="538" spans="1:14" ht="18.75" x14ac:dyDescent="0.25">
      <c r="A538" s="173" t="s">
        <v>311</v>
      </c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74"/>
    </row>
    <row r="539" spans="1:14" x14ac:dyDescent="0.25">
      <c r="A539" s="175" t="s">
        <v>292</v>
      </c>
      <c r="B539" s="150" t="s">
        <v>293</v>
      </c>
      <c r="C539" s="151" t="s">
        <v>312</v>
      </c>
      <c r="D539" s="152"/>
      <c r="E539" s="152"/>
      <c r="F539" s="153"/>
      <c r="G539" s="151" t="s">
        <v>313</v>
      </c>
      <c r="H539" s="152"/>
      <c r="I539" s="152"/>
      <c r="J539" s="153"/>
      <c r="K539" s="30"/>
      <c r="L539" s="30"/>
      <c r="M539" s="30"/>
      <c r="N539" s="42"/>
    </row>
    <row r="540" spans="1:14" x14ac:dyDescent="0.25">
      <c r="A540" s="175"/>
      <c r="B540" s="150"/>
      <c r="C540" s="154"/>
      <c r="D540" s="155"/>
      <c r="E540" s="155"/>
      <c r="F540" s="156"/>
      <c r="G540" s="154"/>
      <c r="H540" s="155"/>
      <c r="I540" s="155"/>
      <c r="J540" s="156"/>
      <c r="K540" s="30"/>
      <c r="L540" s="30"/>
      <c r="M540" s="30"/>
      <c r="N540" s="42"/>
    </row>
    <row r="541" spans="1:14" ht="15.75" thickBot="1" x14ac:dyDescent="0.3">
      <c r="A541" s="49"/>
      <c r="B541" s="50"/>
      <c r="C541" s="177"/>
      <c r="D541" s="177"/>
      <c r="E541" s="177"/>
      <c r="F541" s="177"/>
      <c r="G541" s="177"/>
      <c r="H541" s="177"/>
      <c r="I541" s="177"/>
      <c r="J541" s="177"/>
      <c r="K541" s="51"/>
      <c r="L541" s="51"/>
      <c r="M541" s="51"/>
      <c r="N541" s="52"/>
    </row>
    <row r="542" spans="1:14" ht="15.75" thickTop="1" x14ac:dyDescent="0.25"/>
  </sheetData>
  <mergeCells count="657">
    <mergeCell ref="A454:A455"/>
    <mergeCell ref="B454:B455"/>
    <mergeCell ref="C454:F455"/>
    <mergeCell ref="G454:J455"/>
    <mergeCell ref="C456:F456"/>
    <mergeCell ref="G456:J456"/>
    <mergeCell ref="A447:N447"/>
    <mergeCell ref="A448:N448"/>
    <mergeCell ref="A449:A450"/>
    <mergeCell ref="B449:B450"/>
    <mergeCell ref="C449:C450"/>
    <mergeCell ref="D449:D450"/>
    <mergeCell ref="E449:H449"/>
    <mergeCell ref="A452:N452"/>
    <mergeCell ref="A453:N453"/>
    <mergeCell ref="A416:N416"/>
    <mergeCell ref="A437:N437"/>
    <mergeCell ref="A438:N438"/>
    <mergeCell ref="A439:N439"/>
    <mergeCell ref="A440:A441"/>
    <mergeCell ref="B440:B441"/>
    <mergeCell ref="C440:N440"/>
    <mergeCell ref="A443:N443"/>
    <mergeCell ref="A444:A445"/>
    <mergeCell ref="B444:B445"/>
    <mergeCell ref="C444:N444"/>
    <mergeCell ref="E428:H428"/>
    <mergeCell ref="A431:N431"/>
    <mergeCell ref="A432:N432"/>
    <mergeCell ref="A433:A434"/>
    <mergeCell ref="B433:B434"/>
    <mergeCell ref="C433:F434"/>
    <mergeCell ref="G433:J434"/>
    <mergeCell ref="C435:F435"/>
    <mergeCell ref="G435:J435"/>
    <mergeCell ref="C207:C208"/>
    <mergeCell ref="D207:D208"/>
    <mergeCell ref="E207:H207"/>
    <mergeCell ref="A213:N213"/>
    <mergeCell ref="A214:N214"/>
    <mergeCell ref="A215:A216"/>
    <mergeCell ref="B215:B216"/>
    <mergeCell ref="C215:F216"/>
    <mergeCell ref="A537:N537"/>
    <mergeCell ref="C519:F519"/>
    <mergeCell ref="G519:J519"/>
    <mergeCell ref="A520:N520"/>
    <mergeCell ref="A521:N521"/>
    <mergeCell ref="A522:N522"/>
    <mergeCell ref="A523:A524"/>
    <mergeCell ref="B523:B524"/>
    <mergeCell ref="C523:N523"/>
    <mergeCell ref="A528:N528"/>
    <mergeCell ref="A512:A513"/>
    <mergeCell ref="B512:B513"/>
    <mergeCell ref="C512:C513"/>
    <mergeCell ref="D512:D513"/>
    <mergeCell ref="E512:H512"/>
    <mergeCell ref="A515:N515"/>
    <mergeCell ref="A538:N538"/>
    <mergeCell ref="A539:A540"/>
    <mergeCell ref="B539:B540"/>
    <mergeCell ref="C539:F540"/>
    <mergeCell ref="G539:J540"/>
    <mergeCell ref="C541:F541"/>
    <mergeCell ref="G541:J541"/>
    <mergeCell ref="A529:A530"/>
    <mergeCell ref="B529:B530"/>
    <mergeCell ref="C529:N529"/>
    <mergeCell ref="A532:N532"/>
    <mergeCell ref="A533:N533"/>
    <mergeCell ref="A534:A535"/>
    <mergeCell ref="B534:B535"/>
    <mergeCell ref="C534:C535"/>
    <mergeCell ref="D534:D535"/>
    <mergeCell ref="E534:H534"/>
    <mergeCell ref="A516:N516"/>
    <mergeCell ref="A517:A518"/>
    <mergeCell ref="B517:B518"/>
    <mergeCell ref="C517:F518"/>
    <mergeCell ref="G517:J518"/>
    <mergeCell ref="A503:A504"/>
    <mergeCell ref="B503:B504"/>
    <mergeCell ref="C503:N503"/>
    <mergeCell ref="A506:N506"/>
    <mergeCell ref="A507:A508"/>
    <mergeCell ref="B507:B508"/>
    <mergeCell ref="C507:N507"/>
    <mergeCell ref="A510:N510"/>
    <mergeCell ref="A511:N511"/>
    <mergeCell ref="A496:A497"/>
    <mergeCell ref="B496:B497"/>
    <mergeCell ref="C496:F497"/>
    <mergeCell ref="G496:J497"/>
    <mergeCell ref="C498:F498"/>
    <mergeCell ref="G498:J498"/>
    <mergeCell ref="A500:N500"/>
    <mergeCell ref="A501:N501"/>
    <mergeCell ref="A502:N502"/>
    <mergeCell ref="A499:N499"/>
    <mergeCell ref="A489:N489"/>
    <mergeCell ref="A490:N490"/>
    <mergeCell ref="A491:A492"/>
    <mergeCell ref="B491:B492"/>
    <mergeCell ref="C491:C492"/>
    <mergeCell ref="D491:D492"/>
    <mergeCell ref="E491:H491"/>
    <mergeCell ref="A494:N494"/>
    <mergeCell ref="A495:N495"/>
    <mergeCell ref="A480:N480"/>
    <mergeCell ref="A481:N481"/>
    <mergeCell ref="A482:A483"/>
    <mergeCell ref="B482:B483"/>
    <mergeCell ref="C482:N482"/>
    <mergeCell ref="A485:N485"/>
    <mergeCell ref="A486:A487"/>
    <mergeCell ref="B486:B487"/>
    <mergeCell ref="C486:N486"/>
    <mergeCell ref="A473:N473"/>
    <mergeCell ref="A474:N474"/>
    <mergeCell ref="A475:A476"/>
    <mergeCell ref="B475:B476"/>
    <mergeCell ref="C475:F476"/>
    <mergeCell ref="G475:J476"/>
    <mergeCell ref="C477:F477"/>
    <mergeCell ref="G477:J477"/>
    <mergeCell ref="A479:N479"/>
    <mergeCell ref="A465:A466"/>
    <mergeCell ref="B465:B466"/>
    <mergeCell ref="C465:N465"/>
    <mergeCell ref="A468:N468"/>
    <mergeCell ref="A469:N469"/>
    <mergeCell ref="A470:A471"/>
    <mergeCell ref="B470:B471"/>
    <mergeCell ref="C470:C471"/>
    <mergeCell ref="D470:D471"/>
    <mergeCell ref="E470:H470"/>
    <mergeCell ref="C414:F414"/>
    <mergeCell ref="G414:J414"/>
    <mergeCell ref="A458:N458"/>
    <mergeCell ref="A459:N459"/>
    <mergeCell ref="A460:N460"/>
    <mergeCell ref="A461:A462"/>
    <mergeCell ref="B461:B462"/>
    <mergeCell ref="C461:N461"/>
    <mergeCell ref="A464:N464"/>
    <mergeCell ref="A417:N417"/>
    <mergeCell ref="A418:N418"/>
    <mergeCell ref="A419:A420"/>
    <mergeCell ref="B419:B420"/>
    <mergeCell ref="C419:N419"/>
    <mergeCell ref="A422:N422"/>
    <mergeCell ref="A423:A424"/>
    <mergeCell ref="B423:B424"/>
    <mergeCell ref="C423:N423"/>
    <mergeCell ref="A426:N426"/>
    <mergeCell ref="A427:N427"/>
    <mergeCell ref="A428:A429"/>
    <mergeCell ref="B428:B429"/>
    <mergeCell ref="C428:C429"/>
    <mergeCell ref="D428:D429"/>
    <mergeCell ref="A407:A408"/>
    <mergeCell ref="B407:B408"/>
    <mergeCell ref="C407:C408"/>
    <mergeCell ref="D407:D408"/>
    <mergeCell ref="E407:H407"/>
    <mergeCell ref="A410:N410"/>
    <mergeCell ref="A411:N411"/>
    <mergeCell ref="A412:A413"/>
    <mergeCell ref="B412:B413"/>
    <mergeCell ref="C412:F413"/>
    <mergeCell ref="G412:J413"/>
    <mergeCell ref="A397:A398"/>
    <mergeCell ref="B397:B398"/>
    <mergeCell ref="C397:N397"/>
    <mergeCell ref="A401:N401"/>
    <mergeCell ref="A402:A403"/>
    <mergeCell ref="B402:B403"/>
    <mergeCell ref="C402:N402"/>
    <mergeCell ref="A405:N405"/>
    <mergeCell ref="A406:N406"/>
    <mergeCell ref="A390:A391"/>
    <mergeCell ref="B390:B391"/>
    <mergeCell ref="C390:F391"/>
    <mergeCell ref="G390:J391"/>
    <mergeCell ref="C392:F392"/>
    <mergeCell ref="G392:J392"/>
    <mergeCell ref="A394:N394"/>
    <mergeCell ref="A395:N395"/>
    <mergeCell ref="A396:N396"/>
    <mergeCell ref="A383:N383"/>
    <mergeCell ref="A384:N384"/>
    <mergeCell ref="A385:A386"/>
    <mergeCell ref="B385:B386"/>
    <mergeCell ref="C385:C386"/>
    <mergeCell ref="D385:D386"/>
    <mergeCell ref="E385:H385"/>
    <mergeCell ref="A388:N388"/>
    <mergeCell ref="A389:N389"/>
    <mergeCell ref="A373:N373"/>
    <mergeCell ref="A374:N374"/>
    <mergeCell ref="A375:A376"/>
    <mergeCell ref="B375:B376"/>
    <mergeCell ref="C375:N375"/>
    <mergeCell ref="A379:N379"/>
    <mergeCell ref="A380:A381"/>
    <mergeCell ref="B380:B381"/>
    <mergeCell ref="C380:N380"/>
    <mergeCell ref="A366:N366"/>
    <mergeCell ref="A367:N367"/>
    <mergeCell ref="A368:A369"/>
    <mergeCell ref="B368:B369"/>
    <mergeCell ref="C368:F369"/>
    <mergeCell ref="G368:J369"/>
    <mergeCell ref="C370:F370"/>
    <mergeCell ref="G370:J370"/>
    <mergeCell ref="A372:N372"/>
    <mergeCell ref="A356:A357"/>
    <mergeCell ref="B356:B357"/>
    <mergeCell ref="C356:N356"/>
    <mergeCell ref="A359:N359"/>
    <mergeCell ref="A360:N360"/>
    <mergeCell ref="A361:A362"/>
    <mergeCell ref="B361:B362"/>
    <mergeCell ref="C361:C362"/>
    <mergeCell ref="D361:D362"/>
    <mergeCell ref="E361:H361"/>
    <mergeCell ref="I361:I362"/>
    <mergeCell ref="C347:F347"/>
    <mergeCell ref="G347:J347"/>
    <mergeCell ref="A349:N349"/>
    <mergeCell ref="A350:N350"/>
    <mergeCell ref="A351:N351"/>
    <mergeCell ref="A352:A353"/>
    <mergeCell ref="B352:B353"/>
    <mergeCell ref="C352:N352"/>
    <mergeCell ref="A355:N355"/>
    <mergeCell ref="A340:A341"/>
    <mergeCell ref="B340:B341"/>
    <mergeCell ref="C340:C341"/>
    <mergeCell ref="D340:D341"/>
    <mergeCell ref="E340:H340"/>
    <mergeCell ref="A343:N343"/>
    <mergeCell ref="A344:N344"/>
    <mergeCell ref="A345:A346"/>
    <mergeCell ref="B345:B346"/>
    <mergeCell ref="C345:F346"/>
    <mergeCell ref="G345:J346"/>
    <mergeCell ref="A331:A332"/>
    <mergeCell ref="B331:B332"/>
    <mergeCell ref="C331:N331"/>
    <mergeCell ref="A334:N334"/>
    <mergeCell ref="A335:A336"/>
    <mergeCell ref="B335:B336"/>
    <mergeCell ref="C335:N335"/>
    <mergeCell ref="A338:N338"/>
    <mergeCell ref="A339:N339"/>
    <mergeCell ref="A324:A325"/>
    <mergeCell ref="B324:B325"/>
    <mergeCell ref="C324:F325"/>
    <mergeCell ref="G324:J325"/>
    <mergeCell ref="C326:F326"/>
    <mergeCell ref="G326:J326"/>
    <mergeCell ref="A328:N328"/>
    <mergeCell ref="A329:N329"/>
    <mergeCell ref="A330:N330"/>
    <mergeCell ref="A317:N317"/>
    <mergeCell ref="A318:N318"/>
    <mergeCell ref="A319:A320"/>
    <mergeCell ref="B319:B320"/>
    <mergeCell ref="C319:C320"/>
    <mergeCell ref="D319:D320"/>
    <mergeCell ref="E319:H319"/>
    <mergeCell ref="A322:N322"/>
    <mergeCell ref="A323:N323"/>
    <mergeCell ref="A308:N308"/>
    <mergeCell ref="A309:N309"/>
    <mergeCell ref="A310:A311"/>
    <mergeCell ref="B310:B311"/>
    <mergeCell ref="C310:N310"/>
    <mergeCell ref="A313:N313"/>
    <mergeCell ref="A314:A315"/>
    <mergeCell ref="B314:B315"/>
    <mergeCell ref="C314:N314"/>
    <mergeCell ref="A301:N301"/>
    <mergeCell ref="A302:N302"/>
    <mergeCell ref="A303:A304"/>
    <mergeCell ref="B303:B304"/>
    <mergeCell ref="C303:F304"/>
    <mergeCell ref="G303:J304"/>
    <mergeCell ref="C305:F305"/>
    <mergeCell ref="G305:J305"/>
    <mergeCell ref="A307:N307"/>
    <mergeCell ref="A293:A294"/>
    <mergeCell ref="B293:B294"/>
    <mergeCell ref="C293:N293"/>
    <mergeCell ref="A296:N296"/>
    <mergeCell ref="A297:N297"/>
    <mergeCell ref="A298:A299"/>
    <mergeCell ref="B298:B299"/>
    <mergeCell ref="C298:C299"/>
    <mergeCell ref="D298:D299"/>
    <mergeCell ref="E298:H298"/>
    <mergeCell ref="C284:F284"/>
    <mergeCell ref="G284:J284"/>
    <mergeCell ref="A286:N286"/>
    <mergeCell ref="A287:N287"/>
    <mergeCell ref="A288:N288"/>
    <mergeCell ref="A289:A290"/>
    <mergeCell ref="B289:B290"/>
    <mergeCell ref="C289:N289"/>
    <mergeCell ref="A292:N292"/>
    <mergeCell ref="A276:N276"/>
    <mergeCell ref="A277:A278"/>
    <mergeCell ref="B277:B278"/>
    <mergeCell ref="C277:C278"/>
    <mergeCell ref="D277:D278"/>
    <mergeCell ref="E277:H277"/>
    <mergeCell ref="A280:N280"/>
    <mergeCell ref="A281:N281"/>
    <mergeCell ref="A282:A283"/>
    <mergeCell ref="B282:B283"/>
    <mergeCell ref="C282:F283"/>
    <mergeCell ref="G282:J283"/>
    <mergeCell ref="A267:N267"/>
    <mergeCell ref="A268:A269"/>
    <mergeCell ref="B268:B269"/>
    <mergeCell ref="C268:N268"/>
    <mergeCell ref="A271:N271"/>
    <mergeCell ref="A272:A273"/>
    <mergeCell ref="B272:B273"/>
    <mergeCell ref="C272:N272"/>
    <mergeCell ref="A275:N275"/>
    <mergeCell ref="A261:A262"/>
    <mergeCell ref="B261:B262"/>
    <mergeCell ref="C261:F262"/>
    <mergeCell ref="G261:J262"/>
    <mergeCell ref="C263:F263"/>
    <mergeCell ref="G263:J263"/>
    <mergeCell ref="A265:N265"/>
    <mergeCell ref="A266:N266"/>
    <mergeCell ref="A254:N254"/>
    <mergeCell ref="A255:N255"/>
    <mergeCell ref="A256:A257"/>
    <mergeCell ref="B256:B257"/>
    <mergeCell ref="C256:C257"/>
    <mergeCell ref="D256:D257"/>
    <mergeCell ref="E256:H256"/>
    <mergeCell ref="A259:N259"/>
    <mergeCell ref="A260:N260"/>
    <mergeCell ref="A244:N244"/>
    <mergeCell ref="A245:N245"/>
    <mergeCell ref="A246:N246"/>
    <mergeCell ref="A247:A248"/>
    <mergeCell ref="B247:B248"/>
    <mergeCell ref="C247:N247"/>
    <mergeCell ref="A250:N250"/>
    <mergeCell ref="A251:A252"/>
    <mergeCell ref="B251:B252"/>
    <mergeCell ref="C251:N251"/>
    <mergeCell ref="A236:N236"/>
    <mergeCell ref="A237:N237"/>
    <mergeCell ref="A238:A239"/>
    <mergeCell ref="B238:B239"/>
    <mergeCell ref="K238:N238"/>
    <mergeCell ref="C238:D239"/>
    <mergeCell ref="E238:F239"/>
    <mergeCell ref="G238:H239"/>
    <mergeCell ref="I238:J239"/>
    <mergeCell ref="A226:A227"/>
    <mergeCell ref="B226:B227"/>
    <mergeCell ref="C226:N226"/>
    <mergeCell ref="A229:N229"/>
    <mergeCell ref="A230:N230"/>
    <mergeCell ref="A231:A232"/>
    <mergeCell ref="B231:B232"/>
    <mergeCell ref="C231:C232"/>
    <mergeCell ref="D231:D232"/>
    <mergeCell ref="E231:H231"/>
    <mergeCell ref="I231:I232"/>
    <mergeCell ref="A220:N220"/>
    <mergeCell ref="A221:N221"/>
    <mergeCell ref="A222:A223"/>
    <mergeCell ref="B222:B223"/>
    <mergeCell ref="C222:N222"/>
    <mergeCell ref="A225:N225"/>
    <mergeCell ref="G215:J216"/>
    <mergeCell ref="C217:F217"/>
    <mergeCell ref="G217:J217"/>
    <mergeCell ref="A189:N189"/>
    <mergeCell ref="A190:N190"/>
    <mergeCell ref="A191:A192"/>
    <mergeCell ref="B191:B192"/>
    <mergeCell ref="C191:F192"/>
    <mergeCell ref="G191:J192"/>
    <mergeCell ref="C193:F193"/>
    <mergeCell ref="G193:J193"/>
    <mergeCell ref="A219:N219"/>
    <mergeCell ref="I207:I208"/>
    <mergeCell ref="A195:N195"/>
    <mergeCell ref="A196:N196"/>
    <mergeCell ref="A197:N197"/>
    <mergeCell ref="A198:A199"/>
    <mergeCell ref="B198:B199"/>
    <mergeCell ref="C198:N198"/>
    <mergeCell ref="A201:N201"/>
    <mergeCell ref="A202:A203"/>
    <mergeCell ref="B202:B203"/>
    <mergeCell ref="C202:N202"/>
    <mergeCell ref="A205:N205"/>
    <mergeCell ref="A206:N206"/>
    <mergeCell ref="A207:A208"/>
    <mergeCell ref="B207:B208"/>
    <mergeCell ref="B177:B178"/>
    <mergeCell ref="C177:N177"/>
    <mergeCell ref="A180:N180"/>
    <mergeCell ref="A181:A182"/>
    <mergeCell ref="B181:B182"/>
    <mergeCell ref="C181:N181"/>
    <mergeCell ref="A184:N184"/>
    <mergeCell ref="A185:N185"/>
    <mergeCell ref="A186:A187"/>
    <mergeCell ref="B186:B187"/>
    <mergeCell ref="C186:C187"/>
    <mergeCell ref="D186:D187"/>
    <mergeCell ref="E186:H186"/>
    <mergeCell ref="B165:B166"/>
    <mergeCell ref="C165:C166"/>
    <mergeCell ref="D165:D166"/>
    <mergeCell ref="E165:H165"/>
    <mergeCell ref="A168:N168"/>
    <mergeCell ref="A169:N169"/>
    <mergeCell ref="A170:A171"/>
    <mergeCell ref="B170:B171"/>
    <mergeCell ref="C170:F171"/>
    <mergeCell ref="G170:J171"/>
    <mergeCell ref="A1:N1"/>
    <mergeCell ref="A2:N2"/>
    <mergeCell ref="A3:N3"/>
    <mergeCell ref="A4:N4"/>
    <mergeCell ref="A5:A6"/>
    <mergeCell ref="B5:B6"/>
    <mergeCell ref="C5:N5"/>
    <mergeCell ref="A23:N23"/>
    <mergeCell ref="A24:N24"/>
    <mergeCell ref="A8:N8"/>
    <mergeCell ref="A9:A10"/>
    <mergeCell ref="B9:B10"/>
    <mergeCell ref="C9:N9"/>
    <mergeCell ref="C21:F21"/>
    <mergeCell ref="G21:J21"/>
    <mergeCell ref="A12:N12"/>
    <mergeCell ref="A13:N13"/>
    <mergeCell ref="A14:A15"/>
    <mergeCell ref="B14:B15"/>
    <mergeCell ref="C14:C15"/>
    <mergeCell ref="D14:D15"/>
    <mergeCell ref="E14:H14"/>
    <mergeCell ref="A17:N17"/>
    <mergeCell ref="A18:N18"/>
    <mergeCell ref="A19:A20"/>
    <mergeCell ref="B19:B20"/>
    <mergeCell ref="C19:F20"/>
    <mergeCell ref="G19:J20"/>
    <mergeCell ref="A38:A39"/>
    <mergeCell ref="B38:B39"/>
    <mergeCell ref="C38:C39"/>
    <mergeCell ref="D38:D39"/>
    <mergeCell ref="E38:H38"/>
    <mergeCell ref="A41:N41"/>
    <mergeCell ref="A42:N42"/>
    <mergeCell ref="A43:A44"/>
    <mergeCell ref="B43:B44"/>
    <mergeCell ref="C43:F44"/>
    <mergeCell ref="G43:J44"/>
    <mergeCell ref="A25:N25"/>
    <mergeCell ref="A26:A27"/>
    <mergeCell ref="B26:B27"/>
    <mergeCell ref="C26:N26"/>
    <mergeCell ref="A32:N32"/>
    <mergeCell ref="A33:A34"/>
    <mergeCell ref="B33:B34"/>
    <mergeCell ref="C33:N33"/>
    <mergeCell ref="A37:N37"/>
    <mergeCell ref="A36:N36"/>
    <mergeCell ref="A49:N49"/>
    <mergeCell ref="A50:A51"/>
    <mergeCell ref="B50:B51"/>
    <mergeCell ref="C50:N50"/>
    <mergeCell ref="A53:N53"/>
    <mergeCell ref="C45:F45"/>
    <mergeCell ref="G45:J45"/>
    <mergeCell ref="A47:N47"/>
    <mergeCell ref="A48:N48"/>
    <mergeCell ref="A59:A60"/>
    <mergeCell ref="B59:B60"/>
    <mergeCell ref="C59:C60"/>
    <mergeCell ref="D59:D60"/>
    <mergeCell ref="E59:H59"/>
    <mergeCell ref="A54:A55"/>
    <mergeCell ref="B54:B55"/>
    <mergeCell ref="C54:N54"/>
    <mergeCell ref="A57:N57"/>
    <mergeCell ref="A58:N58"/>
    <mergeCell ref="C66:F66"/>
    <mergeCell ref="G66:J66"/>
    <mergeCell ref="A68:N68"/>
    <mergeCell ref="A69:N69"/>
    <mergeCell ref="A62:N62"/>
    <mergeCell ref="A63:N63"/>
    <mergeCell ref="A64:A65"/>
    <mergeCell ref="B64:B65"/>
    <mergeCell ref="C64:F65"/>
    <mergeCell ref="G64:J65"/>
    <mergeCell ref="A75:A76"/>
    <mergeCell ref="B75:B76"/>
    <mergeCell ref="C75:N75"/>
    <mergeCell ref="A78:N78"/>
    <mergeCell ref="A79:N79"/>
    <mergeCell ref="A70:N70"/>
    <mergeCell ref="A71:A72"/>
    <mergeCell ref="B71:B72"/>
    <mergeCell ref="C71:N71"/>
    <mergeCell ref="A74:N74"/>
    <mergeCell ref="A83:N83"/>
    <mergeCell ref="A84:N84"/>
    <mergeCell ref="A85:A86"/>
    <mergeCell ref="B85:B86"/>
    <mergeCell ref="A80:A81"/>
    <mergeCell ref="B80:B81"/>
    <mergeCell ref="C80:C81"/>
    <mergeCell ref="D80:D81"/>
    <mergeCell ref="E80:H80"/>
    <mergeCell ref="K85:N85"/>
    <mergeCell ref="C85:D86"/>
    <mergeCell ref="E85:F86"/>
    <mergeCell ref="G85:H86"/>
    <mergeCell ref="I85:J86"/>
    <mergeCell ref="A91:N91"/>
    <mergeCell ref="A92:A93"/>
    <mergeCell ref="B92:B93"/>
    <mergeCell ref="C92:N92"/>
    <mergeCell ref="A95:N95"/>
    <mergeCell ref="A89:N89"/>
    <mergeCell ref="A90:N90"/>
    <mergeCell ref="C87:D87"/>
    <mergeCell ref="E87:F87"/>
    <mergeCell ref="G87:H87"/>
    <mergeCell ref="I87:J87"/>
    <mergeCell ref="A101:A102"/>
    <mergeCell ref="B101:B102"/>
    <mergeCell ref="C101:C102"/>
    <mergeCell ref="D101:D102"/>
    <mergeCell ref="E101:H101"/>
    <mergeCell ref="A96:A97"/>
    <mergeCell ref="B96:B97"/>
    <mergeCell ref="C96:N96"/>
    <mergeCell ref="A99:N99"/>
    <mergeCell ref="A100:N100"/>
    <mergeCell ref="C108:F108"/>
    <mergeCell ref="G108:J108"/>
    <mergeCell ref="A110:N110"/>
    <mergeCell ref="A111:N111"/>
    <mergeCell ref="A104:N104"/>
    <mergeCell ref="A105:N105"/>
    <mergeCell ref="A106:A107"/>
    <mergeCell ref="B106:B107"/>
    <mergeCell ref="C106:F107"/>
    <mergeCell ref="G106:J107"/>
    <mergeCell ref="A117:A118"/>
    <mergeCell ref="B117:B118"/>
    <mergeCell ref="C117:N117"/>
    <mergeCell ref="A120:N120"/>
    <mergeCell ref="A121:N121"/>
    <mergeCell ref="A112:N112"/>
    <mergeCell ref="A113:A114"/>
    <mergeCell ref="B113:B114"/>
    <mergeCell ref="C113:N113"/>
    <mergeCell ref="A116:N116"/>
    <mergeCell ref="A125:N125"/>
    <mergeCell ref="A126:N126"/>
    <mergeCell ref="A127:A128"/>
    <mergeCell ref="B127:B128"/>
    <mergeCell ref="C127:F128"/>
    <mergeCell ref="G127:J128"/>
    <mergeCell ref="A122:A123"/>
    <mergeCell ref="B122:B123"/>
    <mergeCell ref="C122:C123"/>
    <mergeCell ref="D122:D123"/>
    <mergeCell ref="E122:H122"/>
    <mergeCell ref="A133:N133"/>
    <mergeCell ref="A134:A135"/>
    <mergeCell ref="B134:B135"/>
    <mergeCell ref="C134:N134"/>
    <mergeCell ref="A137:N137"/>
    <mergeCell ref="C129:F129"/>
    <mergeCell ref="G129:J129"/>
    <mergeCell ref="A131:N131"/>
    <mergeCell ref="A132:N132"/>
    <mergeCell ref="A143:A144"/>
    <mergeCell ref="B143:B144"/>
    <mergeCell ref="C143:C144"/>
    <mergeCell ref="D143:D144"/>
    <mergeCell ref="E143:H143"/>
    <mergeCell ref="A138:A139"/>
    <mergeCell ref="B138:B139"/>
    <mergeCell ref="C138:N138"/>
    <mergeCell ref="A141:N141"/>
    <mergeCell ref="A142:N142"/>
    <mergeCell ref="C242:D242"/>
    <mergeCell ref="C241:D241"/>
    <mergeCell ref="C240:D240"/>
    <mergeCell ref="A146:N146"/>
    <mergeCell ref="A147:N147"/>
    <mergeCell ref="A148:A149"/>
    <mergeCell ref="B148:B149"/>
    <mergeCell ref="K148:N148"/>
    <mergeCell ref="C148:D149"/>
    <mergeCell ref="C150:D150"/>
    <mergeCell ref="C151:D151"/>
    <mergeCell ref="A153:N153"/>
    <mergeCell ref="A154:N154"/>
    <mergeCell ref="A155:N155"/>
    <mergeCell ref="A156:A157"/>
    <mergeCell ref="B156:B157"/>
    <mergeCell ref="C156:N156"/>
    <mergeCell ref="A159:N159"/>
    <mergeCell ref="A160:A161"/>
    <mergeCell ref="B160:B161"/>
    <mergeCell ref="C160:N160"/>
    <mergeCell ref="A163:N163"/>
    <mergeCell ref="A164:N164"/>
    <mergeCell ref="A165:A166"/>
    <mergeCell ref="I242:J242"/>
    <mergeCell ref="I241:J241"/>
    <mergeCell ref="I240:J240"/>
    <mergeCell ref="E148:F149"/>
    <mergeCell ref="I148:J149"/>
    <mergeCell ref="I151:J151"/>
    <mergeCell ref="I150:J150"/>
    <mergeCell ref="E150:F150"/>
    <mergeCell ref="E151:F151"/>
    <mergeCell ref="G148:H149"/>
    <mergeCell ref="G150:H150"/>
    <mergeCell ref="G151:H151"/>
    <mergeCell ref="G242:H242"/>
    <mergeCell ref="G241:H241"/>
    <mergeCell ref="G240:H240"/>
    <mergeCell ref="E242:F242"/>
    <mergeCell ref="E241:F241"/>
    <mergeCell ref="E240:F240"/>
    <mergeCell ref="C172:F172"/>
    <mergeCell ref="G172:J172"/>
    <mergeCell ref="A174:N174"/>
    <mergeCell ref="A175:N175"/>
    <mergeCell ref="A176:N176"/>
    <mergeCell ref="A177:A17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AB5-DBCD-4FE7-A948-EC03691CBA81}">
  <dimension ref="A1:AC427"/>
  <sheetViews>
    <sheetView zoomScale="85" zoomScaleNormal="85" workbookViewId="0">
      <selection activeCell="R392" sqref="R392"/>
    </sheetView>
  </sheetViews>
  <sheetFormatPr defaultRowHeight="15" x14ac:dyDescent="0.25"/>
  <cols>
    <col min="1" max="1" width="17" customWidth="1"/>
    <col min="2" max="2" width="15.7109375" bestFit="1" customWidth="1"/>
  </cols>
  <sheetData>
    <row r="1" spans="1:14" ht="15.75" thickBot="1" x14ac:dyDescent="0.3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9.5" thickTop="1" x14ac:dyDescent="0.25">
      <c r="A2" s="178" t="s">
        <v>506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80"/>
    </row>
    <row r="3" spans="1:14" x14ac:dyDescent="0.25">
      <c r="A3" s="171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72"/>
    </row>
    <row r="4" spans="1:14" ht="18.75" x14ac:dyDescent="0.25">
      <c r="A4" s="173" t="s">
        <v>291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74"/>
    </row>
    <row r="5" spans="1:14" x14ac:dyDescent="0.25">
      <c r="A5" s="175" t="s">
        <v>292</v>
      </c>
      <c r="B5" s="150" t="s">
        <v>293</v>
      </c>
      <c r="C5" s="157" t="s">
        <v>294</v>
      </c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76"/>
    </row>
    <row r="6" spans="1:14" x14ac:dyDescent="0.25">
      <c r="A6" s="175"/>
      <c r="B6" s="150"/>
      <c r="C6" s="30" t="s">
        <v>295</v>
      </c>
      <c r="D6" s="30" t="s">
        <v>296</v>
      </c>
      <c r="E6" s="30" t="s">
        <v>297</v>
      </c>
      <c r="F6" s="30" t="s">
        <v>298</v>
      </c>
      <c r="G6" s="30" t="s">
        <v>299</v>
      </c>
      <c r="H6" s="30" t="s">
        <v>300</v>
      </c>
      <c r="I6" s="30" t="s">
        <v>301</v>
      </c>
      <c r="J6" s="30" t="s">
        <v>302</v>
      </c>
      <c r="K6" s="30" t="s">
        <v>303</v>
      </c>
      <c r="L6" s="30" t="s">
        <v>304</v>
      </c>
      <c r="M6" s="30" t="s">
        <v>305</v>
      </c>
      <c r="N6" s="42" t="s">
        <v>306</v>
      </c>
    </row>
    <row r="7" spans="1:14" x14ac:dyDescent="0.25">
      <c r="A7" s="87">
        <v>259</v>
      </c>
      <c r="B7" s="80" t="s">
        <v>507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2"/>
    </row>
    <row r="8" spans="1:14" x14ac:dyDescent="0.25">
      <c r="A8" s="171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72"/>
    </row>
    <row r="9" spans="1:14" x14ac:dyDescent="0.25">
      <c r="A9" s="175" t="s">
        <v>292</v>
      </c>
      <c r="B9" s="150" t="s">
        <v>293</v>
      </c>
      <c r="C9" s="157" t="s">
        <v>308</v>
      </c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76"/>
    </row>
    <row r="10" spans="1:14" x14ac:dyDescent="0.25">
      <c r="A10" s="175"/>
      <c r="B10" s="150"/>
      <c r="C10" s="30" t="s">
        <v>295</v>
      </c>
      <c r="D10" s="30" t="s">
        <v>296</v>
      </c>
      <c r="E10" s="30" t="s">
        <v>297</v>
      </c>
      <c r="F10" s="30" t="s">
        <v>298</v>
      </c>
      <c r="G10" s="30" t="s">
        <v>299</v>
      </c>
      <c r="H10" s="30" t="s">
        <v>300</v>
      </c>
      <c r="I10" s="30" t="s">
        <v>301</v>
      </c>
      <c r="J10" s="30" t="s">
        <v>302</v>
      </c>
      <c r="K10" s="30" t="s">
        <v>303</v>
      </c>
      <c r="L10" s="30" t="s">
        <v>304</v>
      </c>
      <c r="M10" s="30" t="s">
        <v>305</v>
      </c>
      <c r="N10" s="42" t="s">
        <v>306</v>
      </c>
    </row>
    <row r="11" spans="1:14" x14ac:dyDescent="0.25">
      <c r="A11" s="87">
        <v>259</v>
      </c>
      <c r="B11" s="80" t="s">
        <v>507</v>
      </c>
      <c r="C11" s="91">
        <v>5.0999999999999996</v>
      </c>
      <c r="D11" s="91">
        <v>5.29</v>
      </c>
      <c r="E11" s="91">
        <v>5</v>
      </c>
      <c r="F11" s="91">
        <v>5.03</v>
      </c>
      <c r="G11" s="91">
        <v>4.4800000000000004</v>
      </c>
      <c r="H11" s="91">
        <v>4.43</v>
      </c>
      <c r="I11" s="91">
        <v>5.26</v>
      </c>
      <c r="J11" s="91">
        <v>6.29</v>
      </c>
      <c r="K11" s="91">
        <v>6.3</v>
      </c>
      <c r="L11" s="91">
        <v>6.55</v>
      </c>
      <c r="M11" s="91">
        <v>6.1</v>
      </c>
      <c r="N11" s="92">
        <v>5.29</v>
      </c>
    </row>
    <row r="12" spans="1:14" x14ac:dyDescent="0.25">
      <c r="A12" s="194"/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6"/>
    </row>
    <row r="13" spans="1:14" ht="18.75" x14ac:dyDescent="0.25">
      <c r="A13" s="173" t="s">
        <v>309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74"/>
    </row>
    <row r="14" spans="1:14" x14ac:dyDescent="0.25">
      <c r="A14" s="175" t="s">
        <v>292</v>
      </c>
      <c r="B14" s="150" t="s">
        <v>293</v>
      </c>
      <c r="C14" s="150" t="s">
        <v>1</v>
      </c>
      <c r="D14" s="150" t="s">
        <v>2</v>
      </c>
      <c r="E14" s="150" t="s">
        <v>310</v>
      </c>
      <c r="F14" s="150"/>
      <c r="G14" s="150"/>
      <c r="H14" s="150"/>
      <c r="I14" s="221" t="s">
        <v>464</v>
      </c>
      <c r="J14" s="30"/>
      <c r="K14" s="30"/>
      <c r="L14" s="30"/>
      <c r="M14" s="30"/>
      <c r="N14" s="42"/>
    </row>
    <row r="15" spans="1:14" x14ac:dyDescent="0.25">
      <c r="A15" s="175"/>
      <c r="B15" s="150"/>
      <c r="C15" s="150"/>
      <c r="D15" s="150"/>
      <c r="E15" s="30" t="s">
        <v>292</v>
      </c>
      <c r="F15" s="30" t="s">
        <v>293</v>
      </c>
      <c r="G15" s="30" t="s">
        <v>1</v>
      </c>
      <c r="H15" s="30" t="s">
        <v>2</v>
      </c>
      <c r="I15" s="222"/>
      <c r="J15" s="30"/>
      <c r="K15" s="30"/>
      <c r="L15" s="30"/>
      <c r="M15" s="30"/>
      <c r="N15" s="42"/>
    </row>
    <row r="16" spans="1:14" x14ac:dyDescent="0.25">
      <c r="A16" s="87" t="s">
        <v>196</v>
      </c>
      <c r="B16" s="80" t="s">
        <v>507</v>
      </c>
      <c r="C16" s="91">
        <v>-17.09</v>
      </c>
      <c r="D16" s="91">
        <v>-54.83</v>
      </c>
      <c r="E16" s="85"/>
      <c r="F16" s="85"/>
      <c r="G16" s="85"/>
      <c r="H16" s="85"/>
      <c r="I16" s="116"/>
      <c r="J16" s="85"/>
      <c r="K16" s="85"/>
      <c r="L16" s="85"/>
      <c r="M16" s="85"/>
      <c r="N16" s="72"/>
    </row>
    <row r="17" spans="1:14" x14ac:dyDescent="0.25">
      <c r="A17" s="194"/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6"/>
    </row>
    <row r="18" spans="1:14" ht="18.75" x14ac:dyDescent="0.25">
      <c r="A18" s="173" t="s">
        <v>311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74"/>
    </row>
    <row r="19" spans="1:14" x14ac:dyDescent="0.25">
      <c r="A19" s="175" t="s">
        <v>292</v>
      </c>
      <c r="B19" s="150" t="s">
        <v>293</v>
      </c>
      <c r="C19" s="151" t="s">
        <v>312</v>
      </c>
      <c r="D19" s="152"/>
      <c r="E19" s="152"/>
      <c r="F19" s="153"/>
      <c r="G19" s="151" t="s">
        <v>313</v>
      </c>
      <c r="H19" s="152"/>
      <c r="I19" s="152"/>
      <c r="J19" s="153"/>
      <c r="K19" s="30"/>
      <c r="L19" s="30"/>
      <c r="M19" s="30"/>
      <c r="N19" s="42"/>
    </row>
    <row r="20" spans="1:14" x14ac:dyDescent="0.25">
      <c r="A20" s="175"/>
      <c r="B20" s="150"/>
      <c r="C20" s="154"/>
      <c r="D20" s="155"/>
      <c r="E20" s="155"/>
      <c r="F20" s="156"/>
      <c r="G20" s="154"/>
      <c r="H20" s="155"/>
      <c r="I20" s="155"/>
      <c r="J20" s="156"/>
      <c r="K20" s="30"/>
      <c r="L20" s="30"/>
      <c r="M20" s="30"/>
      <c r="N20" s="42"/>
    </row>
    <row r="21" spans="1:14" ht="15.75" thickBot="1" x14ac:dyDescent="0.3">
      <c r="A21" s="49"/>
      <c r="B21" s="50"/>
      <c r="C21" s="177"/>
      <c r="D21" s="177"/>
      <c r="E21" s="177"/>
      <c r="F21" s="177"/>
      <c r="G21" s="177"/>
      <c r="H21" s="177"/>
      <c r="I21" s="177"/>
      <c r="J21" s="177"/>
      <c r="K21" s="51"/>
      <c r="L21" s="51"/>
      <c r="M21" s="51"/>
      <c r="N21" s="52"/>
    </row>
    <row r="22" spans="1:14" ht="16.5" thickTop="1" thickBot="1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</row>
    <row r="23" spans="1:14" ht="19.5" thickTop="1" x14ac:dyDescent="0.25">
      <c r="A23" s="178" t="s">
        <v>508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80"/>
    </row>
    <row r="24" spans="1:14" x14ac:dyDescent="0.25">
      <c r="A24" s="171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72"/>
    </row>
    <row r="25" spans="1:14" ht="18.75" x14ac:dyDescent="0.25">
      <c r="A25" s="173" t="s">
        <v>291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74"/>
    </row>
    <row r="26" spans="1:14" x14ac:dyDescent="0.25">
      <c r="A26" s="175" t="s">
        <v>292</v>
      </c>
      <c r="B26" s="150" t="s">
        <v>293</v>
      </c>
      <c r="C26" s="157" t="s">
        <v>294</v>
      </c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76"/>
    </row>
    <row r="27" spans="1:14" x14ac:dyDescent="0.25">
      <c r="A27" s="175"/>
      <c r="B27" s="150"/>
      <c r="C27" s="30" t="s">
        <v>295</v>
      </c>
      <c r="D27" s="30" t="s">
        <v>296</v>
      </c>
      <c r="E27" s="30" t="s">
        <v>297</v>
      </c>
      <c r="F27" s="30" t="s">
        <v>298</v>
      </c>
      <c r="G27" s="30" t="s">
        <v>299</v>
      </c>
      <c r="H27" s="30" t="s">
        <v>300</v>
      </c>
      <c r="I27" s="30" t="s">
        <v>301</v>
      </c>
      <c r="J27" s="30" t="s">
        <v>302</v>
      </c>
      <c r="K27" s="30" t="s">
        <v>303</v>
      </c>
      <c r="L27" s="30" t="s">
        <v>304</v>
      </c>
      <c r="M27" s="30" t="s">
        <v>305</v>
      </c>
      <c r="N27" s="42" t="s">
        <v>306</v>
      </c>
    </row>
    <row r="28" spans="1:14" x14ac:dyDescent="0.25">
      <c r="A28" s="87">
        <v>295</v>
      </c>
      <c r="B28" s="80" t="s">
        <v>199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2"/>
    </row>
    <row r="29" spans="1:14" x14ac:dyDescent="0.25">
      <c r="A29" s="171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72"/>
    </row>
    <row r="30" spans="1:14" x14ac:dyDescent="0.25">
      <c r="A30" s="175" t="s">
        <v>292</v>
      </c>
      <c r="B30" s="150" t="s">
        <v>293</v>
      </c>
      <c r="C30" s="157" t="s">
        <v>308</v>
      </c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76"/>
    </row>
    <row r="31" spans="1:14" x14ac:dyDescent="0.25">
      <c r="A31" s="175"/>
      <c r="B31" s="150"/>
      <c r="C31" s="30" t="s">
        <v>295</v>
      </c>
      <c r="D31" s="30" t="s">
        <v>296</v>
      </c>
      <c r="E31" s="30" t="s">
        <v>297</v>
      </c>
      <c r="F31" s="30" t="s">
        <v>298</v>
      </c>
      <c r="G31" s="30" t="s">
        <v>299</v>
      </c>
      <c r="H31" s="30" t="s">
        <v>300</v>
      </c>
      <c r="I31" s="30" t="s">
        <v>301</v>
      </c>
      <c r="J31" s="30" t="s">
        <v>302</v>
      </c>
      <c r="K31" s="30" t="s">
        <v>303</v>
      </c>
      <c r="L31" s="30" t="s">
        <v>304</v>
      </c>
      <c r="M31" s="30" t="s">
        <v>305</v>
      </c>
      <c r="N31" s="42" t="s">
        <v>306</v>
      </c>
    </row>
    <row r="32" spans="1:14" x14ac:dyDescent="0.25">
      <c r="A32" s="87">
        <v>295</v>
      </c>
      <c r="B32" s="80" t="s">
        <v>199</v>
      </c>
      <c r="C32" s="91">
        <v>5.13</v>
      </c>
      <c r="D32" s="91">
        <v>5.21</v>
      </c>
      <c r="E32" s="91">
        <v>4.9400000000000004</v>
      </c>
      <c r="F32" s="91">
        <v>4.63</v>
      </c>
      <c r="G32" s="91">
        <v>4.0599999999999996</v>
      </c>
      <c r="H32" s="91">
        <v>3.87</v>
      </c>
      <c r="I32" s="91">
        <v>4.42</v>
      </c>
      <c r="J32" s="91">
        <v>5.19</v>
      </c>
      <c r="K32" s="91">
        <v>5.47</v>
      </c>
      <c r="L32" s="91">
        <v>5.65</v>
      </c>
      <c r="M32" s="91">
        <v>5.5</v>
      </c>
      <c r="N32" s="92">
        <v>5.16</v>
      </c>
    </row>
    <row r="33" spans="1:14" x14ac:dyDescent="0.25">
      <c r="A33" s="194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6"/>
    </row>
    <row r="34" spans="1:14" ht="18.75" x14ac:dyDescent="0.25">
      <c r="A34" s="173" t="s">
        <v>309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74"/>
    </row>
    <row r="35" spans="1:14" x14ac:dyDescent="0.25">
      <c r="A35" s="175" t="s">
        <v>292</v>
      </c>
      <c r="B35" s="150" t="s">
        <v>293</v>
      </c>
      <c r="C35" s="150" t="s">
        <v>1</v>
      </c>
      <c r="D35" s="150" t="s">
        <v>2</v>
      </c>
      <c r="E35" s="150" t="s">
        <v>310</v>
      </c>
      <c r="F35" s="150"/>
      <c r="G35" s="150"/>
      <c r="H35" s="150"/>
      <c r="I35" s="221" t="s">
        <v>464</v>
      </c>
      <c r="J35" s="30"/>
      <c r="K35" s="30"/>
      <c r="L35" s="30"/>
      <c r="M35" s="30"/>
      <c r="N35" s="42"/>
    </row>
    <row r="36" spans="1:14" x14ac:dyDescent="0.25">
      <c r="A36" s="175"/>
      <c r="B36" s="150"/>
      <c r="C36" s="150"/>
      <c r="D36" s="150"/>
      <c r="E36" s="30" t="s">
        <v>292</v>
      </c>
      <c r="F36" s="30" t="s">
        <v>293</v>
      </c>
      <c r="G36" s="30" t="s">
        <v>1</v>
      </c>
      <c r="H36" s="30" t="s">
        <v>2</v>
      </c>
      <c r="I36" s="222"/>
      <c r="J36" s="30"/>
      <c r="K36" s="30"/>
      <c r="L36" s="30"/>
      <c r="M36" s="30"/>
      <c r="N36" s="42"/>
    </row>
    <row r="37" spans="1:14" x14ac:dyDescent="0.25">
      <c r="A37" s="87" t="s">
        <v>198</v>
      </c>
      <c r="B37" s="80" t="s">
        <v>199</v>
      </c>
      <c r="C37" s="91">
        <v>-15.24</v>
      </c>
      <c r="D37" s="91">
        <v>-58.73</v>
      </c>
      <c r="E37" s="85"/>
      <c r="F37" s="85"/>
      <c r="G37" s="85"/>
      <c r="H37" s="85"/>
      <c r="I37" s="116"/>
      <c r="J37" s="85"/>
      <c r="K37" s="85"/>
      <c r="L37" s="85"/>
      <c r="M37" s="85"/>
      <c r="N37" s="72"/>
    </row>
    <row r="38" spans="1:14" x14ac:dyDescent="0.25">
      <c r="A38" s="194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6"/>
    </row>
    <row r="39" spans="1:14" ht="18.75" x14ac:dyDescent="0.25">
      <c r="A39" s="173" t="s">
        <v>311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74"/>
    </row>
    <row r="40" spans="1:14" x14ac:dyDescent="0.25">
      <c r="A40" s="175" t="s">
        <v>292</v>
      </c>
      <c r="B40" s="150" t="s">
        <v>293</v>
      </c>
      <c r="C40" s="151" t="s">
        <v>312</v>
      </c>
      <c r="D40" s="152"/>
      <c r="E40" s="152"/>
      <c r="F40" s="153"/>
      <c r="G40" s="151" t="s">
        <v>313</v>
      </c>
      <c r="H40" s="152"/>
      <c r="I40" s="152"/>
      <c r="J40" s="153"/>
      <c r="K40" s="30"/>
      <c r="L40" s="30"/>
      <c r="M40" s="30"/>
      <c r="N40" s="42"/>
    </row>
    <row r="41" spans="1:14" x14ac:dyDescent="0.25">
      <c r="A41" s="175"/>
      <c r="B41" s="150"/>
      <c r="C41" s="154"/>
      <c r="D41" s="155"/>
      <c r="E41" s="155"/>
      <c r="F41" s="156"/>
      <c r="G41" s="154"/>
      <c r="H41" s="155"/>
      <c r="I41" s="155"/>
      <c r="J41" s="156"/>
      <c r="K41" s="30"/>
      <c r="L41" s="30"/>
      <c r="M41" s="30"/>
      <c r="N41" s="42"/>
    </row>
    <row r="42" spans="1:14" ht="15.75" thickBot="1" x14ac:dyDescent="0.3">
      <c r="A42" s="49"/>
      <c r="B42" s="50"/>
      <c r="C42" s="177"/>
      <c r="D42" s="177"/>
      <c r="E42" s="177"/>
      <c r="F42" s="177"/>
      <c r="G42" s="177"/>
      <c r="H42" s="177"/>
      <c r="I42" s="177"/>
      <c r="J42" s="177"/>
      <c r="K42" s="51"/>
      <c r="L42" s="51"/>
      <c r="M42" s="51"/>
      <c r="N42" s="52"/>
    </row>
    <row r="43" spans="1:14" ht="16.5" thickTop="1" thickBot="1" x14ac:dyDescent="0.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</row>
    <row r="44" spans="1:14" ht="19.5" thickTop="1" x14ac:dyDescent="0.25">
      <c r="A44" s="178" t="s">
        <v>509</v>
      </c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80"/>
    </row>
    <row r="45" spans="1:14" x14ac:dyDescent="0.25">
      <c r="A45" s="171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72"/>
    </row>
    <row r="46" spans="1:14" ht="18.75" x14ac:dyDescent="0.25">
      <c r="A46" s="173" t="s">
        <v>291</v>
      </c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74"/>
    </row>
    <row r="47" spans="1:14" x14ac:dyDescent="0.25">
      <c r="A47" s="175" t="s">
        <v>292</v>
      </c>
      <c r="B47" s="150" t="s">
        <v>293</v>
      </c>
      <c r="C47" s="157" t="s">
        <v>294</v>
      </c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76"/>
    </row>
    <row r="48" spans="1:14" x14ac:dyDescent="0.25">
      <c r="A48" s="175"/>
      <c r="B48" s="150"/>
      <c r="C48" s="30" t="s">
        <v>295</v>
      </c>
      <c r="D48" s="30" t="s">
        <v>296</v>
      </c>
      <c r="E48" s="30" t="s">
        <v>297</v>
      </c>
      <c r="F48" s="30" t="s">
        <v>298</v>
      </c>
      <c r="G48" s="30" t="s">
        <v>299</v>
      </c>
      <c r="H48" s="30" t="s">
        <v>300</v>
      </c>
      <c r="I48" s="30" t="s">
        <v>301</v>
      </c>
      <c r="J48" s="30" t="s">
        <v>302</v>
      </c>
      <c r="K48" s="30" t="s">
        <v>303</v>
      </c>
      <c r="L48" s="30" t="s">
        <v>304</v>
      </c>
      <c r="M48" s="30" t="s">
        <v>305</v>
      </c>
      <c r="N48" s="42" t="s">
        <v>306</v>
      </c>
    </row>
    <row r="49" spans="1:14" x14ac:dyDescent="0.25">
      <c r="A49" s="87">
        <v>278</v>
      </c>
      <c r="B49" s="80" t="s">
        <v>201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2"/>
    </row>
    <row r="50" spans="1:14" x14ac:dyDescent="0.25">
      <c r="A50" s="171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72"/>
    </row>
    <row r="51" spans="1:14" x14ac:dyDescent="0.25">
      <c r="A51" s="175" t="s">
        <v>292</v>
      </c>
      <c r="B51" s="150" t="s">
        <v>293</v>
      </c>
      <c r="C51" s="157" t="s">
        <v>308</v>
      </c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76"/>
    </row>
    <row r="52" spans="1:14" x14ac:dyDescent="0.25">
      <c r="A52" s="175"/>
      <c r="B52" s="150"/>
      <c r="C52" s="30" t="s">
        <v>295</v>
      </c>
      <c r="D52" s="30" t="s">
        <v>296</v>
      </c>
      <c r="E52" s="30" t="s">
        <v>297</v>
      </c>
      <c r="F52" s="30" t="s">
        <v>298</v>
      </c>
      <c r="G52" s="30" t="s">
        <v>299</v>
      </c>
      <c r="H52" s="30" t="s">
        <v>300</v>
      </c>
      <c r="I52" s="30" t="s">
        <v>301</v>
      </c>
      <c r="J52" s="30" t="s">
        <v>302</v>
      </c>
      <c r="K52" s="30" t="s">
        <v>303</v>
      </c>
      <c r="L52" s="30" t="s">
        <v>304</v>
      </c>
      <c r="M52" s="30" t="s">
        <v>305</v>
      </c>
      <c r="N52" s="42" t="s">
        <v>306</v>
      </c>
    </row>
    <row r="53" spans="1:14" x14ac:dyDescent="0.25">
      <c r="A53" s="87">
        <v>278</v>
      </c>
      <c r="B53" s="80" t="s">
        <v>201</v>
      </c>
      <c r="C53" s="91">
        <v>4.97</v>
      </c>
      <c r="D53" s="91">
        <v>5.21</v>
      </c>
      <c r="E53" s="91">
        <v>4.9400000000000004</v>
      </c>
      <c r="F53" s="91">
        <v>5.23</v>
      </c>
      <c r="G53" s="91">
        <v>4.68</v>
      </c>
      <c r="H53" s="91">
        <v>5.03</v>
      </c>
      <c r="I53" s="91">
        <v>5.52</v>
      </c>
      <c r="J53" s="91">
        <v>6.55</v>
      </c>
      <c r="K53" s="91">
        <v>7</v>
      </c>
      <c r="L53" s="91">
        <v>6.35</v>
      </c>
      <c r="M53" s="91">
        <v>5.83</v>
      </c>
      <c r="N53" s="92">
        <v>5.55</v>
      </c>
    </row>
    <row r="54" spans="1:14" x14ac:dyDescent="0.25">
      <c r="A54" s="194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6"/>
    </row>
    <row r="55" spans="1:14" ht="18.75" x14ac:dyDescent="0.25">
      <c r="A55" s="173" t="s">
        <v>309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74"/>
    </row>
    <row r="56" spans="1:14" x14ac:dyDescent="0.25">
      <c r="A56" s="175" t="s">
        <v>292</v>
      </c>
      <c r="B56" s="150" t="s">
        <v>293</v>
      </c>
      <c r="C56" s="150" t="s">
        <v>1</v>
      </c>
      <c r="D56" s="150" t="s">
        <v>2</v>
      </c>
      <c r="E56" s="150" t="s">
        <v>310</v>
      </c>
      <c r="F56" s="150"/>
      <c r="G56" s="150"/>
      <c r="H56" s="150"/>
      <c r="I56" s="221" t="s">
        <v>464</v>
      </c>
      <c r="J56" s="30"/>
      <c r="K56" s="30"/>
      <c r="L56" s="30"/>
      <c r="M56" s="30"/>
      <c r="N56" s="42"/>
    </row>
    <row r="57" spans="1:14" x14ac:dyDescent="0.25">
      <c r="A57" s="175"/>
      <c r="B57" s="150"/>
      <c r="C57" s="150"/>
      <c r="D57" s="150"/>
      <c r="E57" s="30" t="s">
        <v>292</v>
      </c>
      <c r="F57" s="30" t="s">
        <v>293</v>
      </c>
      <c r="G57" s="30" t="s">
        <v>1</v>
      </c>
      <c r="H57" s="30" t="s">
        <v>2</v>
      </c>
      <c r="I57" s="222"/>
      <c r="J57" s="30"/>
      <c r="K57" s="30"/>
      <c r="L57" s="30"/>
      <c r="M57" s="30"/>
      <c r="N57" s="42"/>
    </row>
    <row r="58" spans="1:14" x14ac:dyDescent="0.25">
      <c r="A58" s="87" t="s">
        <v>200</v>
      </c>
      <c r="B58" s="80" t="s">
        <v>201</v>
      </c>
      <c r="C58" s="91">
        <v>-14.87</v>
      </c>
      <c r="D58" s="91">
        <v>-55.78</v>
      </c>
      <c r="E58" s="85"/>
      <c r="F58" s="85"/>
      <c r="G58" s="85"/>
      <c r="H58" s="85"/>
      <c r="I58" s="116"/>
      <c r="J58" s="85"/>
      <c r="K58" s="85"/>
      <c r="L58" s="85"/>
      <c r="M58" s="85"/>
      <c r="N58" s="72"/>
    </row>
    <row r="59" spans="1:14" x14ac:dyDescent="0.25">
      <c r="A59" s="194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6"/>
    </row>
    <row r="60" spans="1:14" ht="18.75" x14ac:dyDescent="0.25">
      <c r="A60" s="173" t="s">
        <v>311</v>
      </c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74"/>
    </row>
    <row r="61" spans="1:14" x14ac:dyDescent="0.25">
      <c r="A61" s="175" t="s">
        <v>292</v>
      </c>
      <c r="B61" s="150" t="s">
        <v>293</v>
      </c>
      <c r="C61" s="151" t="s">
        <v>312</v>
      </c>
      <c r="D61" s="152"/>
      <c r="E61" s="152"/>
      <c r="F61" s="153"/>
      <c r="G61" s="151" t="s">
        <v>313</v>
      </c>
      <c r="H61" s="152"/>
      <c r="I61" s="152"/>
      <c r="J61" s="153"/>
      <c r="K61" s="30"/>
      <c r="L61" s="30"/>
      <c r="M61" s="30"/>
      <c r="N61" s="42"/>
    </row>
    <row r="62" spans="1:14" x14ac:dyDescent="0.25">
      <c r="A62" s="175"/>
      <c r="B62" s="150"/>
      <c r="C62" s="154"/>
      <c r="D62" s="155"/>
      <c r="E62" s="155"/>
      <c r="F62" s="156"/>
      <c r="G62" s="154"/>
      <c r="H62" s="155"/>
      <c r="I62" s="155"/>
      <c r="J62" s="156"/>
      <c r="K62" s="30"/>
      <c r="L62" s="30"/>
      <c r="M62" s="30"/>
      <c r="N62" s="42"/>
    </row>
    <row r="63" spans="1:14" ht="15.75" thickBot="1" x14ac:dyDescent="0.3">
      <c r="A63" s="49"/>
      <c r="B63" s="50"/>
      <c r="C63" s="177"/>
      <c r="D63" s="177"/>
      <c r="E63" s="177"/>
      <c r="F63" s="177"/>
      <c r="G63" s="177"/>
      <c r="H63" s="177"/>
      <c r="I63" s="177"/>
      <c r="J63" s="177"/>
      <c r="K63" s="51"/>
      <c r="L63" s="51"/>
      <c r="M63" s="51"/>
      <c r="N63" s="52"/>
    </row>
    <row r="64" spans="1:14" ht="16.5" thickTop="1" thickBot="1" x14ac:dyDescent="0.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</row>
    <row r="65" spans="1:14" ht="19.5" thickTop="1" x14ac:dyDescent="0.25">
      <c r="A65" s="178" t="s">
        <v>510</v>
      </c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80"/>
    </row>
    <row r="66" spans="1:14" x14ac:dyDescent="0.25">
      <c r="A66" s="171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72"/>
    </row>
    <row r="67" spans="1:14" ht="18.75" x14ac:dyDescent="0.25">
      <c r="A67" s="173" t="s">
        <v>291</v>
      </c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74"/>
    </row>
    <row r="68" spans="1:14" x14ac:dyDescent="0.25">
      <c r="A68" s="175" t="s">
        <v>292</v>
      </c>
      <c r="B68" s="150" t="s">
        <v>293</v>
      </c>
      <c r="C68" s="157" t="s">
        <v>294</v>
      </c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76"/>
    </row>
    <row r="69" spans="1:14" x14ac:dyDescent="0.25">
      <c r="A69" s="175"/>
      <c r="B69" s="150"/>
      <c r="C69" s="30" t="s">
        <v>295</v>
      </c>
      <c r="D69" s="30" t="s">
        <v>296</v>
      </c>
      <c r="E69" s="30" t="s">
        <v>297</v>
      </c>
      <c r="F69" s="30" t="s">
        <v>298</v>
      </c>
      <c r="G69" s="30" t="s">
        <v>299</v>
      </c>
      <c r="H69" s="30" t="s">
        <v>300</v>
      </c>
      <c r="I69" s="30" t="s">
        <v>301</v>
      </c>
      <c r="J69" s="30" t="s">
        <v>302</v>
      </c>
      <c r="K69" s="30" t="s">
        <v>303</v>
      </c>
      <c r="L69" s="30" t="s">
        <v>304</v>
      </c>
      <c r="M69" s="30" t="s">
        <v>305</v>
      </c>
      <c r="N69" s="42" t="s">
        <v>306</v>
      </c>
    </row>
    <row r="70" spans="1:14" x14ac:dyDescent="0.25">
      <c r="A70" s="87">
        <v>281</v>
      </c>
      <c r="B70" s="80" t="s">
        <v>203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2"/>
    </row>
    <row r="71" spans="1:14" x14ac:dyDescent="0.25">
      <c r="A71" s="171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72"/>
    </row>
    <row r="72" spans="1:14" x14ac:dyDescent="0.25">
      <c r="A72" s="175" t="s">
        <v>292</v>
      </c>
      <c r="B72" s="150" t="s">
        <v>293</v>
      </c>
      <c r="C72" s="157" t="s">
        <v>308</v>
      </c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76"/>
    </row>
    <row r="73" spans="1:14" x14ac:dyDescent="0.25">
      <c r="A73" s="175"/>
      <c r="B73" s="150"/>
      <c r="C73" s="30" t="s">
        <v>295</v>
      </c>
      <c r="D73" s="30" t="s">
        <v>296</v>
      </c>
      <c r="E73" s="30" t="s">
        <v>297</v>
      </c>
      <c r="F73" s="30" t="s">
        <v>298</v>
      </c>
      <c r="G73" s="30" t="s">
        <v>299</v>
      </c>
      <c r="H73" s="30" t="s">
        <v>300</v>
      </c>
      <c r="I73" s="30" t="s">
        <v>301</v>
      </c>
      <c r="J73" s="30" t="s">
        <v>302</v>
      </c>
      <c r="K73" s="30" t="s">
        <v>303</v>
      </c>
      <c r="L73" s="30" t="s">
        <v>304</v>
      </c>
      <c r="M73" s="30" t="s">
        <v>305</v>
      </c>
      <c r="N73" s="42" t="s">
        <v>306</v>
      </c>
    </row>
    <row r="74" spans="1:14" x14ac:dyDescent="0.25">
      <c r="A74" s="87">
        <v>281</v>
      </c>
      <c r="B74" s="80" t="s">
        <v>203</v>
      </c>
      <c r="C74" s="91">
        <v>5.23</v>
      </c>
      <c r="D74" s="91">
        <v>5.39</v>
      </c>
      <c r="E74" s="91">
        <v>5.0999999999999996</v>
      </c>
      <c r="F74" s="91">
        <v>5</v>
      </c>
      <c r="G74" s="91">
        <v>4.42</v>
      </c>
      <c r="H74" s="91">
        <v>4.2699999999999996</v>
      </c>
      <c r="I74" s="91">
        <v>5.13</v>
      </c>
      <c r="J74" s="91">
        <v>6.16</v>
      </c>
      <c r="K74" s="91">
        <v>6.2</v>
      </c>
      <c r="L74" s="91">
        <v>6.68</v>
      </c>
      <c r="M74" s="91">
        <v>6.27</v>
      </c>
      <c r="N74" s="92">
        <v>5.35</v>
      </c>
    </row>
    <row r="75" spans="1:14" x14ac:dyDescent="0.25">
      <c r="A75" s="194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6"/>
    </row>
    <row r="76" spans="1:14" ht="18.75" x14ac:dyDescent="0.25">
      <c r="A76" s="173" t="s">
        <v>309</v>
      </c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74"/>
    </row>
    <row r="77" spans="1:14" x14ac:dyDescent="0.25">
      <c r="A77" s="175" t="s">
        <v>292</v>
      </c>
      <c r="B77" s="150" t="s">
        <v>293</v>
      </c>
      <c r="C77" s="150" t="s">
        <v>1</v>
      </c>
      <c r="D77" s="150" t="s">
        <v>2</v>
      </c>
      <c r="E77" s="150" t="s">
        <v>310</v>
      </c>
      <c r="F77" s="150"/>
      <c r="G77" s="150"/>
      <c r="H77" s="150"/>
      <c r="I77" s="221" t="s">
        <v>464</v>
      </c>
      <c r="J77" s="30"/>
      <c r="K77" s="30"/>
      <c r="L77" s="30"/>
      <c r="M77" s="30"/>
      <c r="N77" s="42"/>
    </row>
    <row r="78" spans="1:14" x14ac:dyDescent="0.25">
      <c r="A78" s="175"/>
      <c r="B78" s="150"/>
      <c r="C78" s="150"/>
      <c r="D78" s="150"/>
      <c r="E78" s="30" t="s">
        <v>292</v>
      </c>
      <c r="F78" s="30" t="s">
        <v>293</v>
      </c>
      <c r="G78" s="30" t="s">
        <v>1</v>
      </c>
      <c r="H78" s="30" t="s">
        <v>2</v>
      </c>
      <c r="I78" s="222"/>
      <c r="J78" s="30"/>
      <c r="K78" s="30"/>
      <c r="L78" s="30"/>
      <c r="M78" s="30"/>
      <c r="N78" s="42"/>
    </row>
    <row r="79" spans="1:14" x14ac:dyDescent="0.25">
      <c r="A79" s="87" t="s">
        <v>202</v>
      </c>
      <c r="B79" s="80" t="s">
        <v>201</v>
      </c>
      <c r="C79" s="91">
        <v>-17.61</v>
      </c>
      <c r="D79" s="91">
        <v>-54.83</v>
      </c>
      <c r="E79" s="85"/>
      <c r="F79" s="85"/>
      <c r="G79" s="85"/>
      <c r="H79" s="85"/>
      <c r="I79" s="116"/>
      <c r="J79" s="85"/>
      <c r="K79" s="85"/>
      <c r="L79" s="85"/>
      <c r="M79" s="85"/>
      <c r="N79" s="72"/>
    </row>
    <row r="80" spans="1:14" x14ac:dyDescent="0.25">
      <c r="A80" s="194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6"/>
    </row>
    <row r="81" spans="1:14" ht="18.75" x14ac:dyDescent="0.25">
      <c r="A81" s="173" t="s">
        <v>311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74"/>
    </row>
    <row r="82" spans="1:14" x14ac:dyDescent="0.25">
      <c r="A82" s="175" t="s">
        <v>292</v>
      </c>
      <c r="B82" s="150" t="s">
        <v>293</v>
      </c>
      <c r="C82" s="151" t="s">
        <v>312</v>
      </c>
      <c r="D82" s="152"/>
      <c r="E82" s="152"/>
      <c r="F82" s="153"/>
      <c r="G82" s="151" t="s">
        <v>313</v>
      </c>
      <c r="H82" s="152"/>
      <c r="I82" s="152"/>
      <c r="J82" s="153"/>
      <c r="K82" s="30"/>
      <c r="L82" s="30"/>
      <c r="M82" s="30"/>
      <c r="N82" s="42"/>
    </row>
    <row r="83" spans="1:14" x14ac:dyDescent="0.25">
      <c r="A83" s="175"/>
      <c r="B83" s="150"/>
      <c r="C83" s="154"/>
      <c r="D83" s="155"/>
      <c r="E83" s="155"/>
      <c r="F83" s="156"/>
      <c r="G83" s="154"/>
      <c r="H83" s="155"/>
      <c r="I83" s="155"/>
      <c r="J83" s="156"/>
      <c r="K83" s="30"/>
      <c r="L83" s="30"/>
      <c r="M83" s="30"/>
      <c r="N83" s="42"/>
    </row>
    <row r="84" spans="1:14" ht="15.75" thickBot="1" x14ac:dyDescent="0.3">
      <c r="A84" s="49"/>
      <c r="B84" s="50"/>
      <c r="C84" s="177"/>
      <c r="D84" s="177"/>
      <c r="E84" s="177"/>
      <c r="F84" s="177"/>
      <c r="G84" s="177"/>
      <c r="H84" s="177"/>
      <c r="I84" s="177"/>
      <c r="J84" s="177"/>
      <c r="K84" s="51"/>
      <c r="L84" s="51"/>
      <c r="M84" s="51"/>
      <c r="N84" s="52"/>
    </row>
    <row r="85" spans="1:14" ht="16.5" thickTop="1" thickBot="1" x14ac:dyDescent="0.3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</row>
    <row r="86" spans="1:14" ht="19.5" thickTop="1" x14ac:dyDescent="0.25">
      <c r="A86" s="178" t="s">
        <v>511</v>
      </c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80"/>
    </row>
    <row r="87" spans="1:14" x14ac:dyDescent="0.25">
      <c r="A87" s="171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72"/>
    </row>
    <row r="88" spans="1:14" ht="18.75" x14ac:dyDescent="0.25">
      <c r="A88" s="173" t="s">
        <v>291</v>
      </c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74"/>
    </row>
    <row r="89" spans="1:14" x14ac:dyDescent="0.25">
      <c r="A89" s="175" t="s">
        <v>292</v>
      </c>
      <c r="B89" s="150" t="s">
        <v>293</v>
      </c>
      <c r="C89" s="157" t="s">
        <v>294</v>
      </c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76"/>
    </row>
    <row r="90" spans="1:14" x14ac:dyDescent="0.25">
      <c r="A90" s="175"/>
      <c r="B90" s="150"/>
      <c r="C90" s="30" t="s">
        <v>295</v>
      </c>
      <c r="D90" s="30" t="s">
        <v>296</v>
      </c>
      <c r="E90" s="30" t="s">
        <v>297</v>
      </c>
      <c r="F90" s="30" t="s">
        <v>298</v>
      </c>
      <c r="G90" s="30" t="s">
        <v>299</v>
      </c>
      <c r="H90" s="30" t="s">
        <v>300</v>
      </c>
      <c r="I90" s="30" t="s">
        <v>301</v>
      </c>
      <c r="J90" s="30" t="s">
        <v>302</v>
      </c>
      <c r="K90" s="30" t="s">
        <v>303</v>
      </c>
      <c r="L90" s="30" t="s">
        <v>304</v>
      </c>
      <c r="M90" s="30" t="s">
        <v>305</v>
      </c>
      <c r="N90" s="42" t="s">
        <v>306</v>
      </c>
    </row>
    <row r="91" spans="1:14" x14ac:dyDescent="0.25">
      <c r="A91" s="87">
        <v>149</v>
      </c>
      <c r="B91" s="80" t="s">
        <v>512</v>
      </c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2"/>
    </row>
    <row r="92" spans="1:14" x14ac:dyDescent="0.25">
      <c r="A92" s="171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72"/>
    </row>
    <row r="93" spans="1:14" x14ac:dyDescent="0.25">
      <c r="A93" s="175" t="s">
        <v>292</v>
      </c>
      <c r="B93" s="150" t="s">
        <v>293</v>
      </c>
      <c r="C93" s="157" t="s">
        <v>308</v>
      </c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76"/>
    </row>
    <row r="94" spans="1:14" x14ac:dyDescent="0.25">
      <c r="A94" s="175"/>
      <c r="B94" s="150"/>
      <c r="C94" s="30" t="s">
        <v>295</v>
      </c>
      <c r="D94" s="30" t="s">
        <v>296</v>
      </c>
      <c r="E94" s="30" t="s">
        <v>297</v>
      </c>
      <c r="F94" s="30" t="s">
        <v>298</v>
      </c>
      <c r="G94" s="30" t="s">
        <v>299</v>
      </c>
      <c r="H94" s="30" t="s">
        <v>300</v>
      </c>
      <c r="I94" s="30" t="s">
        <v>301</v>
      </c>
      <c r="J94" s="30" t="s">
        <v>302</v>
      </c>
      <c r="K94" s="30" t="s">
        <v>303</v>
      </c>
      <c r="L94" s="30" t="s">
        <v>304</v>
      </c>
      <c r="M94" s="30" t="s">
        <v>305</v>
      </c>
      <c r="N94" s="42" t="s">
        <v>306</v>
      </c>
    </row>
    <row r="95" spans="1:14" x14ac:dyDescent="0.25">
      <c r="A95" s="87">
        <v>149</v>
      </c>
      <c r="B95" s="80" t="s">
        <v>512</v>
      </c>
      <c r="C95" s="91">
        <v>5.71</v>
      </c>
      <c r="D95" s="91">
        <v>5.86</v>
      </c>
      <c r="E95" s="91">
        <v>5.35</v>
      </c>
      <c r="F95" s="91">
        <v>4.2300000000000004</v>
      </c>
      <c r="G95" s="91">
        <v>3.42</v>
      </c>
      <c r="H95" s="91">
        <v>2.93</v>
      </c>
      <c r="I95" s="91">
        <v>3.03</v>
      </c>
      <c r="J95" s="91">
        <v>4</v>
      </c>
      <c r="K95" s="91">
        <v>4.4000000000000004</v>
      </c>
      <c r="L95" s="91">
        <v>4.71</v>
      </c>
      <c r="M95" s="91">
        <v>4.93</v>
      </c>
      <c r="N95" s="92">
        <v>5.03</v>
      </c>
    </row>
    <row r="96" spans="1:14" x14ac:dyDescent="0.25">
      <c r="A96" s="194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6"/>
    </row>
    <row r="97" spans="1:14" ht="18.75" x14ac:dyDescent="0.25">
      <c r="A97" s="173" t="s">
        <v>309</v>
      </c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74"/>
    </row>
    <row r="98" spans="1:14" x14ac:dyDescent="0.25">
      <c r="A98" s="175" t="s">
        <v>292</v>
      </c>
      <c r="B98" s="150" t="s">
        <v>293</v>
      </c>
      <c r="C98" s="150" t="s">
        <v>1</v>
      </c>
      <c r="D98" s="150" t="s">
        <v>2</v>
      </c>
      <c r="E98" s="150" t="s">
        <v>310</v>
      </c>
      <c r="F98" s="150"/>
      <c r="G98" s="150"/>
      <c r="H98" s="150"/>
      <c r="I98" s="30"/>
      <c r="J98" s="30"/>
      <c r="K98" s="30"/>
      <c r="L98" s="30"/>
      <c r="M98" s="30"/>
      <c r="N98" s="42"/>
    </row>
    <row r="99" spans="1:14" x14ac:dyDescent="0.25">
      <c r="A99" s="175"/>
      <c r="B99" s="150"/>
      <c r="C99" s="150"/>
      <c r="D99" s="150"/>
      <c r="E99" s="30" t="s">
        <v>292</v>
      </c>
      <c r="F99" s="30" t="s">
        <v>293</v>
      </c>
      <c r="G99" s="30" t="s">
        <v>1</v>
      </c>
      <c r="H99" s="30" t="s">
        <v>2</v>
      </c>
      <c r="I99" s="30"/>
      <c r="J99" s="30"/>
      <c r="K99" s="30"/>
      <c r="L99" s="30"/>
      <c r="M99" s="30"/>
      <c r="N99" s="42"/>
    </row>
    <row r="100" spans="1:14" x14ac:dyDescent="0.25">
      <c r="A100" s="90" t="s">
        <v>209</v>
      </c>
      <c r="B100" s="80" t="s">
        <v>512</v>
      </c>
      <c r="C100" s="91">
        <v>-20.21</v>
      </c>
      <c r="D100" s="91">
        <v>-42.85</v>
      </c>
      <c r="E100" s="85"/>
      <c r="F100" s="85"/>
      <c r="G100" s="85"/>
      <c r="H100" s="85"/>
      <c r="I100" s="81"/>
      <c r="J100" s="81"/>
      <c r="K100" s="81"/>
      <c r="L100" s="81"/>
      <c r="M100" s="81"/>
      <c r="N100" s="111"/>
    </row>
    <row r="101" spans="1:14" x14ac:dyDescent="0.25">
      <c r="A101" s="194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6"/>
    </row>
    <row r="102" spans="1:14" ht="18.75" x14ac:dyDescent="0.25">
      <c r="A102" s="173" t="s">
        <v>311</v>
      </c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74"/>
    </row>
    <row r="103" spans="1:14" x14ac:dyDescent="0.25">
      <c r="A103" s="175" t="s">
        <v>292</v>
      </c>
      <c r="B103" s="150" t="s">
        <v>293</v>
      </c>
      <c r="C103" s="151" t="s">
        <v>312</v>
      </c>
      <c r="D103" s="152"/>
      <c r="E103" s="152"/>
      <c r="F103" s="153"/>
      <c r="G103" s="151" t="s">
        <v>313</v>
      </c>
      <c r="H103" s="152"/>
      <c r="I103" s="152"/>
      <c r="J103" s="153"/>
      <c r="K103" s="30"/>
      <c r="L103" s="30"/>
      <c r="M103" s="30"/>
      <c r="N103" s="42"/>
    </row>
    <row r="104" spans="1:14" x14ac:dyDescent="0.25">
      <c r="A104" s="175"/>
      <c r="B104" s="150"/>
      <c r="C104" s="154"/>
      <c r="D104" s="155"/>
      <c r="E104" s="155"/>
      <c r="F104" s="156"/>
      <c r="G104" s="154"/>
      <c r="H104" s="155"/>
      <c r="I104" s="155"/>
      <c r="J104" s="156"/>
      <c r="K104" s="30"/>
      <c r="L104" s="30"/>
      <c r="M104" s="30"/>
      <c r="N104" s="42"/>
    </row>
    <row r="105" spans="1:14" ht="15.75" thickBot="1" x14ac:dyDescent="0.3">
      <c r="A105" s="49"/>
      <c r="B105" s="50"/>
      <c r="C105" s="177"/>
      <c r="D105" s="177"/>
      <c r="E105" s="177"/>
      <c r="F105" s="177"/>
      <c r="G105" s="177"/>
      <c r="H105" s="177"/>
      <c r="I105" s="177"/>
      <c r="J105" s="177"/>
      <c r="K105" s="51"/>
      <c r="L105" s="51"/>
      <c r="M105" s="51"/>
      <c r="N105" s="52"/>
    </row>
    <row r="106" spans="1:14" ht="16.5" thickTop="1" thickBo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</row>
    <row r="107" spans="1:14" ht="19.5" thickTop="1" x14ac:dyDescent="0.25">
      <c r="A107" s="178" t="s">
        <v>513</v>
      </c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80"/>
    </row>
    <row r="108" spans="1:14" x14ac:dyDescent="0.25">
      <c r="A108" s="171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72"/>
    </row>
    <row r="109" spans="1:14" ht="18.75" x14ac:dyDescent="0.25">
      <c r="A109" s="173" t="s">
        <v>291</v>
      </c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74"/>
    </row>
    <row r="110" spans="1:14" x14ac:dyDescent="0.25">
      <c r="A110" s="175" t="s">
        <v>292</v>
      </c>
      <c r="B110" s="150" t="s">
        <v>293</v>
      </c>
      <c r="C110" s="157" t="s">
        <v>294</v>
      </c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76"/>
    </row>
    <row r="111" spans="1:14" x14ac:dyDescent="0.25">
      <c r="A111" s="175"/>
      <c r="B111" s="150"/>
      <c r="C111" s="30" t="s">
        <v>295</v>
      </c>
      <c r="D111" s="30" t="s">
        <v>296</v>
      </c>
      <c r="E111" s="30" t="s">
        <v>297</v>
      </c>
      <c r="F111" s="30" t="s">
        <v>298</v>
      </c>
      <c r="G111" s="30" t="s">
        <v>299</v>
      </c>
      <c r="H111" s="30" t="s">
        <v>300</v>
      </c>
      <c r="I111" s="30" t="s">
        <v>301</v>
      </c>
      <c r="J111" s="30" t="s">
        <v>302</v>
      </c>
      <c r="K111" s="30" t="s">
        <v>303</v>
      </c>
      <c r="L111" s="30" t="s">
        <v>304</v>
      </c>
      <c r="M111" s="30" t="s">
        <v>305</v>
      </c>
      <c r="N111" s="42" t="s">
        <v>306</v>
      </c>
    </row>
    <row r="112" spans="1:14" x14ac:dyDescent="0.25">
      <c r="A112" s="87">
        <v>262</v>
      </c>
      <c r="B112" s="80" t="s">
        <v>514</v>
      </c>
      <c r="C112" s="85">
        <v>0.97799999999999998</v>
      </c>
      <c r="D112" s="85">
        <v>0.97799999999999998</v>
      </c>
      <c r="E112" s="85">
        <v>0.97799999999999998</v>
      </c>
      <c r="F112" s="85">
        <v>0.97799999999999998</v>
      </c>
      <c r="G112" s="85">
        <v>0.97799999999999998</v>
      </c>
      <c r="H112" s="85">
        <v>0.97799999999999998</v>
      </c>
      <c r="I112" s="85">
        <v>0.97799999999999998</v>
      </c>
      <c r="J112" s="85">
        <v>0.97799999999999998</v>
      </c>
      <c r="K112" s="85">
        <v>0.97799999999999998</v>
      </c>
      <c r="L112" s="85">
        <v>0.97799999999999998</v>
      </c>
      <c r="M112" s="85">
        <v>0.97799999999999998</v>
      </c>
      <c r="N112" s="86">
        <v>0.97799999999999998</v>
      </c>
    </row>
    <row r="113" spans="1:14" x14ac:dyDescent="0.25">
      <c r="A113" s="112">
        <v>184</v>
      </c>
      <c r="B113" s="82" t="s">
        <v>515</v>
      </c>
      <c r="C113" s="113">
        <v>2.1999999999999999E-2</v>
      </c>
      <c r="D113" s="113">
        <v>2.1999999999999999E-2</v>
      </c>
      <c r="E113" s="113">
        <v>2.1999999999999999E-2</v>
      </c>
      <c r="F113" s="113">
        <v>2.1999999999999999E-2</v>
      </c>
      <c r="G113" s="113">
        <v>2.1999999999999999E-2</v>
      </c>
      <c r="H113" s="113">
        <v>2.1999999999999999E-2</v>
      </c>
      <c r="I113" s="113">
        <v>2.1999999999999999E-2</v>
      </c>
      <c r="J113" s="113">
        <v>2.1999999999999999E-2</v>
      </c>
      <c r="K113" s="113">
        <v>2.1999999999999999E-2</v>
      </c>
      <c r="L113" s="113">
        <v>2.1999999999999999E-2</v>
      </c>
      <c r="M113" s="113">
        <v>2.1999999999999999E-2</v>
      </c>
      <c r="N113" s="14">
        <v>2.1999999999999999E-2</v>
      </c>
    </row>
    <row r="114" spans="1:14" x14ac:dyDescent="0.25">
      <c r="A114" s="171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72"/>
    </row>
    <row r="115" spans="1:14" x14ac:dyDescent="0.25">
      <c r="A115" s="175" t="s">
        <v>292</v>
      </c>
      <c r="B115" s="150" t="s">
        <v>293</v>
      </c>
      <c r="C115" s="157" t="s">
        <v>308</v>
      </c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76"/>
    </row>
    <row r="116" spans="1:14" x14ac:dyDescent="0.25">
      <c r="A116" s="175"/>
      <c r="B116" s="150"/>
      <c r="C116" s="30" t="s">
        <v>295</v>
      </c>
      <c r="D116" s="30" t="s">
        <v>296</v>
      </c>
      <c r="E116" s="30" t="s">
        <v>297</v>
      </c>
      <c r="F116" s="30" t="s">
        <v>298</v>
      </c>
      <c r="G116" s="30" t="s">
        <v>299</v>
      </c>
      <c r="H116" s="30" t="s">
        <v>300</v>
      </c>
      <c r="I116" s="30" t="s">
        <v>301</v>
      </c>
      <c r="J116" s="30" t="s">
        <v>302</v>
      </c>
      <c r="K116" s="30" t="s">
        <v>303</v>
      </c>
      <c r="L116" s="30" t="s">
        <v>304</v>
      </c>
      <c r="M116" s="30" t="s">
        <v>305</v>
      </c>
      <c r="N116" s="42" t="s">
        <v>306</v>
      </c>
    </row>
    <row r="117" spans="1:14" x14ac:dyDescent="0.25">
      <c r="A117" s="87">
        <v>184</v>
      </c>
      <c r="B117" s="80" t="s">
        <v>515</v>
      </c>
      <c r="C117" s="91">
        <v>5.68</v>
      </c>
      <c r="D117" s="91">
        <v>5.89</v>
      </c>
      <c r="E117" s="91">
        <v>5.35</v>
      </c>
      <c r="F117" s="91">
        <v>4.2699999999999996</v>
      </c>
      <c r="G117" s="91">
        <v>3.48</v>
      </c>
      <c r="H117" s="91">
        <v>2.97</v>
      </c>
      <c r="I117" s="91">
        <v>3.13</v>
      </c>
      <c r="J117" s="91">
        <v>4.0999999999999996</v>
      </c>
      <c r="K117" s="91">
        <v>4.57</v>
      </c>
      <c r="L117" s="91">
        <v>4.84</v>
      </c>
      <c r="M117" s="91">
        <v>4.97</v>
      </c>
      <c r="N117" s="92">
        <v>4.97</v>
      </c>
    </row>
    <row r="118" spans="1:14" x14ac:dyDescent="0.25">
      <c r="A118" s="171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72"/>
    </row>
    <row r="119" spans="1:14" ht="18.75" x14ac:dyDescent="0.25">
      <c r="A119" s="173" t="s">
        <v>309</v>
      </c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74"/>
    </row>
    <row r="120" spans="1:14" x14ac:dyDescent="0.25">
      <c r="A120" s="175" t="s">
        <v>292</v>
      </c>
      <c r="B120" s="150" t="s">
        <v>293</v>
      </c>
      <c r="C120" s="150" t="s">
        <v>1</v>
      </c>
      <c r="D120" s="150" t="s">
        <v>2</v>
      </c>
      <c r="E120" s="150" t="s">
        <v>310</v>
      </c>
      <c r="F120" s="150"/>
      <c r="G120" s="150"/>
      <c r="H120" s="150"/>
      <c r="I120" s="30"/>
      <c r="J120" s="30"/>
      <c r="K120" s="30"/>
      <c r="L120" s="30"/>
      <c r="M120" s="30"/>
      <c r="N120" s="42"/>
    </row>
    <row r="121" spans="1:14" x14ac:dyDescent="0.25">
      <c r="A121" s="175"/>
      <c r="B121" s="150"/>
      <c r="C121" s="150"/>
      <c r="D121" s="150"/>
      <c r="E121" s="30" t="s">
        <v>292</v>
      </c>
      <c r="F121" s="30" t="s">
        <v>293</v>
      </c>
      <c r="G121" s="30" t="s">
        <v>1</v>
      </c>
      <c r="H121" s="30" t="s">
        <v>2</v>
      </c>
      <c r="I121" s="30"/>
      <c r="J121" s="30"/>
      <c r="K121" s="30"/>
      <c r="L121" s="30"/>
      <c r="M121" s="30"/>
      <c r="N121" s="42"/>
    </row>
    <row r="122" spans="1:14" x14ac:dyDescent="0.25">
      <c r="A122" s="90" t="s">
        <v>211</v>
      </c>
      <c r="B122" s="80" t="s">
        <v>212</v>
      </c>
      <c r="C122" s="91">
        <v>-19.64</v>
      </c>
      <c r="D122" s="91">
        <v>-42.85</v>
      </c>
      <c r="E122" s="71"/>
      <c r="F122" s="71"/>
      <c r="G122" s="71"/>
      <c r="H122" s="71"/>
      <c r="I122" s="73"/>
      <c r="J122" s="73"/>
      <c r="K122" s="73"/>
      <c r="L122" s="73"/>
      <c r="M122" s="73"/>
      <c r="N122" s="74"/>
    </row>
    <row r="123" spans="1:14" x14ac:dyDescent="0.25">
      <c r="A123" s="171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72"/>
    </row>
    <row r="124" spans="1:14" ht="18.75" x14ac:dyDescent="0.25">
      <c r="A124" s="173" t="s">
        <v>311</v>
      </c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74"/>
    </row>
    <row r="125" spans="1:14" x14ac:dyDescent="0.25">
      <c r="A125" s="175" t="s">
        <v>292</v>
      </c>
      <c r="B125" s="150" t="s">
        <v>293</v>
      </c>
      <c r="C125" s="151" t="s">
        <v>312</v>
      </c>
      <c r="D125" s="152"/>
      <c r="E125" s="152"/>
      <c r="F125" s="153"/>
      <c r="G125" s="151" t="s">
        <v>313</v>
      </c>
      <c r="H125" s="152"/>
      <c r="I125" s="152"/>
      <c r="J125" s="153"/>
      <c r="K125" s="30"/>
      <c r="L125" s="30"/>
      <c r="M125" s="30"/>
      <c r="N125" s="42"/>
    </row>
    <row r="126" spans="1:14" x14ac:dyDescent="0.25">
      <c r="A126" s="175"/>
      <c r="B126" s="150"/>
      <c r="C126" s="154"/>
      <c r="D126" s="155"/>
      <c r="E126" s="155"/>
      <c r="F126" s="156"/>
      <c r="G126" s="154"/>
      <c r="H126" s="155"/>
      <c r="I126" s="155"/>
      <c r="J126" s="156"/>
      <c r="K126" s="30"/>
      <c r="L126" s="30"/>
      <c r="M126" s="30"/>
      <c r="N126" s="42"/>
    </row>
    <row r="127" spans="1:14" ht="15.75" thickBot="1" x14ac:dyDescent="0.3">
      <c r="A127" s="49"/>
      <c r="B127" s="50"/>
      <c r="C127" s="177"/>
      <c r="D127" s="177"/>
      <c r="E127" s="177"/>
      <c r="F127" s="177"/>
      <c r="G127" s="177"/>
      <c r="H127" s="177"/>
      <c r="I127" s="177"/>
      <c r="J127" s="177"/>
      <c r="K127" s="51"/>
      <c r="L127" s="51"/>
      <c r="M127" s="51"/>
      <c r="N127" s="52"/>
    </row>
    <row r="128" spans="1:14" ht="16.5" thickTop="1" thickBot="1" x14ac:dyDescent="0.3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</row>
    <row r="129" spans="1:14" ht="19.5" thickTop="1" x14ac:dyDescent="0.25">
      <c r="A129" s="178" t="s">
        <v>516</v>
      </c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80"/>
    </row>
    <row r="130" spans="1:14" x14ac:dyDescent="0.25">
      <c r="A130" s="171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72"/>
    </row>
    <row r="131" spans="1:14" ht="18.75" x14ac:dyDescent="0.25">
      <c r="A131" s="173" t="s">
        <v>291</v>
      </c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74"/>
    </row>
    <row r="132" spans="1:14" x14ac:dyDescent="0.25">
      <c r="A132" s="175" t="s">
        <v>292</v>
      </c>
      <c r="B132" s="150" t="s">
        <v>293</v>
      </c>
      <c r="C132" s="157" t="s">
        <v>294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76"/>
    </row>
    <row r="133" spans="1:14" x14ac:dyDescent="0.25">
      <c r="A133" s="175"/>
      <c r="B133" s="150"/>
      <c r="C133" s="30" t="s">
        <v>295</v>
      </c>
      <c r="D133" s="30" t="s">
        <v>296</v>
      </c>
      <c r="E133" s="30" t="s">
        <v>297</v>
      </c>
      <c r="F133" s="30" t="s">
        <v>298</v>
      </c>
      <c r="G133" s="30" t="s">
        <v>299</v>
      </c>
      <c r="H133" s="30" t="s">
        <v>300</v>
      </c>
      <c r="I133" s="30" t="s">
        <v>301</v>
      </c>
      <c r="J133" s="30" t="s">
        <v>302</v>
      </c>
      <c r="K133" s="30" t="s">
        <v>303</v>
      </c>
      <c r="L133" s="30" t="s">
        <v>304</v>
      </c>
      <c r="M133" s="30" t="s">
        <v>305</v>
      </c>
      <c r="N133" s="42" t="s">
        <v>306</v>
      </c>
    </row>
    <row r="134" spans="1:14" x14ac:dyDescent="0.25">
      <c r="A134" s="87">
        <v>263</v>
      </c>
      <c r="B134" s="80" t="s">
        <v>214</v>
      </c>
      <c r="C134" s="85">
        <v>0</v>
      </c>
      <c r="D134" s="85">
        <v>0</v>
      </c>
      <c r="E134" s="85">
        <v>0</v>
      </c>
      <c r="F134" s="85">
        <v>0</v>
      </c>
      <c r="G134" s="85">
        <v>0</v>
      </c>
      <c r="H134" s="85">
        <v>0</v>
      </c>
      <c r="I134" s="85">
        <v>0</v>
      </c>
      <c r="J134" s="85">
        <v>0</v>
      </c>
      <c r="K134" s="85">
        <v>0</v>
      </c>
      <c r="L134" s="85">
        <v>0</v>
      </c>
      <c r="M134" s="85">
        <v>0</v>
      </c>
      <c r="N134" s="43">
        <v>0</v>
      </c>
    </row>
    <row r="135" spans="1:14" x14ac:dyDescent="0.25">
      <c r="A135" s="112">
        <v>134</v>
      </c>
      <c r="B135" s="82" t="s">
        <v>517</v>
      </c>
      <c r="C135" s="113">
        <v>1</v>
      </c>
      <c r="D135" s="113">
        <v>1</v>
      </c>
      <c r="E135" s="113">
        <v>1</v>
      </c>
      <c r="F135" s="113">
        <v>1</v>
      </c>
      <c r="G135" s="113">
        <v>1</v>
      </c>
      <c r="H135" s="113">
        <v>1</v>
      </c>
      <c r="I135" s="113">
        <v>1</v>
      </c>
      <c r="J135" s="113">
        <v>1</v>
      </c>
      <c r="K135" s="113">
        <v>1</v>
      </c>
      <c r="L135" s="113">
        <v>1</v>
      </c>
      <c r="M135" s="113">
        <v>1</v>
      </c>
      <c r="N135" s="14">
        <v>1</v>
      </c>
    </row>
    <row r="136" spans="1:14" x14ac:dyDescent="0.25">
      <c r="A136" s="171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72"/>
    </row>
    <row r="137" spans="1:14" x14ac:dyDescent="0.25">
      <c r="A137" s="175" t="s">
        <v>292</v>
      </c>
      <c r="B137" s="150" t="s">
        <v>293</v>
      </c>
      <c r="C137" s="157" t="s">
        <v>308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76"/>
    </row>
    <row r="138" spans="1:14" x14ac:dyDescent="0.25">
      <c r="A138" s="175"/>
      <c r="B138" s="150"/>
      <c r="C138" s="30" t="s">
        <v>295</v>
      </c>
      <c r="D138" s="30" t="s">
        <v>296</v>
      </c>
      <c r="E138" s="30" t="s">
        <v>297</v>
      </c>
      <c r="F138" s="30" t="s">
        <v>298</v>
      </c>
      <c r="G138" s="30" t="s">
        <v>299</v>
      </c>
      <c r="H138" s="30" t="s">
        <v>300</v>
      </c>
      <c r="I138" s="30" t="s">
        <v>301</v>
      </c>
      <c r="J138" s="30" t="s">
        <v>302</v>
      </c>
      <c r="K138" s="30" t="s">
        <v>303</v>
      </c>
      <c r="L138" s="30" t="s">
        <v>304</v>
      </c>
      <c r="M138" s="30" t="s">
        <v>305</v>
      </c>
      <c r="N138" s="42" t="s">
        <v>306</v>
      </c>
    </row>
    <row r="139" spans="1:14" x14ac:dyDescent="0.25">
      <c r="A139" s="87">
        <v>263</v>
      </c>
      <c r="B139" s="80" t="s">
        <v>214</v>
      </c>
      <c r="C139" s="91">
        <v>5.97</v>
      </c>
      <c r="D139" s="91">
        <v>6.18</v>
      </c>
      <c r="E139" s="91">
        <v>5.81</v>
      </c>
      <c r="F139" s="91">
        <v>4.7300000000000004</v>
      </c>
      <c r="G139" s="91">
        <v>4</v>
      </c>
      <c r="H139" s="91">
        <v>3.53</v>
      </c>
      <c r="I139" s="91">
        <v>3.61</v>
      </c>
      <c r="J139" s="91">
        <v>4.7699999999999996</v>
      </c>
      <c r="K139" s="91">
        <v>5.17</v>
      </c>
      <c r="L139" s="91">
        <v>5.26</v>
      </c>
      <c r="M139" s="91">
        <v>5.17</v>
      </c>
      <c r="N139" s="92">
        <v>5.32</v>
      </c>
    </row>
    <row r="140" spans="1:14" x14ac:dyDescent="0.25">
      <c r="A140" s="171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72"/>
    </row>
    <row r="141" spans="1:14" ht="18.75" x14ac:dyDescent="0.25">
      <c r="A141" s="173" t="s">
        <v>309</v>
      </c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74"/>
    </row>
    <row r="142" spans="1:14" x14ac:dyDescent="0.25">
      <c r="A142" s="175" t="s">
        <v>292</v>
      </c>
      <c r="B142" s="150" t="s">
        <v>293</v>
      </c>
      <c r="C142" s="150" t="s">
        <v>1</v>
      </c>
      <c r="D142" s="150" t="s">
        <v>2</v>
      </c>
      <c r="E142" s="150" t="s">
        <v>310</v>
      </c>
      <c r="F142" s="150"/>
      <c r="G142" s="150"/>
      <c r="H142" s="150"/>
      <c r="I142" s="30"/>
      <c r="J142" s="30"/>
      <c r="K142" s="30"/>
      <c r="L142" s="30"/>
      <c r="M142" s="30"/>
      <c r="N142" s="42"/>
    </row>
    <row r="143" spans="1:14" x14ac:dyDescent="0.25">
      <c r="A143" s="175"/>
      <c r="B143" s="150"/>
      <c r="C143" s="150"/>
      <c r="D143" s="150"/>
      <c r="E143" s="30" t="s">
        <v>292</v>
      </c>
      <c r="F143" s="30" t="s">
        <v>293</v>
      </c>
      <c r="G143" s="30" t="s">
        <v>1</v>
      </c>
      <c r="H143" s="30" t="s">
        <v>2</v>
      </c>
      <c r="I143" s="30"/>
      <c r="J143" s="30"/>
      <c r="K143" s="30"/>
      <c r="L143" s="30"/>
      <c r="M143" s="30"/>
      <c r="N143" s="42"/>
    </row>
    <row r="144" spans="1:14" x14ac:dyDescent="0.25">
      <c r="A144" s="90" t="s">
        <v>213</v>
      </c>
      <c r="B144" s="80" t="s">
        <v>214</v>
      </c>
      <c r="C144" s="91">
        <v>-19.12</v>
      </c>
      <c r="D144" s="91">
        <v>-42.66</v>
      </c>
      <c r="E144" s="71"/>
      <c r="F144" s="71"/>
      <c r="G144" s="71"/>
      <c r="H144" s="71"/>
      <c r="I144" s="73"/>
      <c r="J144" s="73"/>
      <c r="K144" s="73"/>
      <c r="L144" s="73"/>
      <c r="M144" s="73"/>
      <c r="N144" s="74"/>
    </row>
    <row r="145" spans="1:14" x14ac:dyDescent="0.25">
      <c r="A145" s="171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72"/>
    </row>
    <row r="146" spans="1:14" ht="18.75" x14ac:dyDescent="0.25">
      <c r="A146" s="173" t="s">
        <v>311</v>
      </c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74"/>
    </row>
    <row r="147" spans="1:14" x14ac:dyDescent="0.25">
      <c r="A147" s="175" t="s">
        <v>292</v>
      </c>
      <c r="B147" s="150" t="s">
        <v>293</v>
      </c>
      <c r="C147" s="151" t="s">
        <v>312</v>
      </c>
      <c r="D147" s="152"/>
      <c r="E147" s="152"/>
      <c r="F147" s="153"/>
      <c r="G147" s="151" t="s">
        <v>313</v>
      </c>
      <c r="H147" s="152"/>
      <c r="I147" s="152"/>
      <c r="J147" s="153"/>
      <c r="K147" s="30"/>
      <c r="L147" s="30"/>
      <c r="M147" s="30"/>
      <c r="N147" s="42"/>
    </row>
    <row r="148" spans="1:14" x14ac:dyDescent="0.25">
      <c r="A148" s="175"/>
      <c r="B148" s="150"/>
      <c r="C148" s="154"/>
      <c r="D148" s="155"/>
      <c r="E148" s="155"/>
      <c r="F148" s="156"/>
      <c r="G148" s="154"/>
      <c r="H148" s="155"/>
      <c r="I148" s="155"/>
      <c r="J148" s="156"/>
      <c r="K148" s="30"/>
      <c r="L148" s="30"/>
      <c r="M148" s="30"/>
      <c r="N148" s="42"/>
    </row>
    <row r="149" spans="1:14" ht="15.75" thickBot="1" x14ac:dyDescent="0.3">
      <c r="A149" s="49"/>
      <c r="B149" s="50"/>
      <c r="C149" s="177"/>
      <c r="D149" s="177"/>
      <c r="E149" s="177"/>
      <c r="F149" s="177"/>
      <c r="G149" s="177"/>
      <c r="H149" s="177"/>
      <c r="I149" s="177"/>
      <c r="J149" s="177"/>
      <c r="K149" s="51"/>
      <c r="L149" s="51"/>
      <c r="M149" s="51"/>
      <c r="N149" s="52"/>
    </row>
    <row r="150" spans="1:14" ht="16.5" thickTop="1" thickBot="1" x14ac:dyDescent="0.3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</row>
    <row r="151" spans="1:14" ht="19.5" thickTop="1" x14ac:dyDescent="0.25">
      <c r="A151" s="178" t="s">
        <v>518</v>
      </c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80"/>
    </row>
    <row r="152" spans="1:14" x14ac:dyDescent="0.25">
      <c r="A152" s="171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72"/>
    </row>
    <row r="153" spans="1:14" ht="18.75" x14ac:dyDescent="0.25">
      <c r="A153" s="173" t="s">
        <v>291</v>
      </c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74"/>
    </row>
    <row r="154" spans="1:14" x14ac:dyDescent="0.25">
      <c r="A154" s="175" t="s">
        <v>292</v>
      </c>
      <c r="B154" s="150" t="s">
        <v>293</v>
      </c>
      <c r="C154" s="157" t="s">
        <v>294</v>
      </c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76"/>
    </row>
    <row r="155" spans="1:14" x14ac:dyDescent="0.25">
      <c r="A155" s="175"/>
      <c r="B155" s="150"/>
      <c r="C155" s="30" t="s">
        <v>295</v>
      </c>
      <c r="D155" s="30" t="s">
        <v>296</v>
      </c>
      <c r="E155" s="30" t="s">
        <v>297</v>
      </c>
      <c r="F155" s="30" t="s">
        <v>298</v>
      </c>
      <c r="G155" s="30" t="s">
        <v>299</v>
      </c>
      <c r="H155" s="30" t="s">
        <v>300</v>
      </c>
      <c r="I155" s="30" t="s">
        <v>301</v>
      </c>
      <c r="J155" s="30" t="s">
        <v>302</v>
      </c>
      <c r="K155" s="30" t="s">
        <v>303</v>
      </c>
      <c r="L155" s="30" t="s">
        <v>304</v>
      </c>
      <c r="M155" s="30" t="s">
        <v>305</v>
      </c>
      <c r="N155" s="42" t="s">
        <v>306</v>
      </c>
    </row>
    <row r="156" spans="1:14" x14ac:dyDescent="0.25">
      <c r="A156" s="87">
        <v>148</v>
      </c>
      <c r="B156" s="80" t="s">
        <v>519</v>
      </c>
      <c r="C156" s="85">
        <v>0.19500000000000001</v>
      </c>
      <c r="D156" s="85">
        <v>0.19500000000000001</v>
      </c>
      <c r="E156" s="85">
        <v>0.19500000000000001</v>
      </c>
      <c r="F156" s="85">
        <v>0.19500000000000001</v>
      </c>
      <c r="G156" s="85">
        <v>0.19500000000000001</v>
      </c>
      <c r="H156" s="85">
        <v>0.19500000000000001</v>
      </c>
      <c r="I156" s="85">
        <v>0.19500000000000001</v>
      </c>
      <c r="J156" s="85">
        <v>0.19500000000000001</v>
      </c>
      <c r="K156" s="85">
        <v>0.19500000000000001</v>
      </c>
      <c r="L156" s="85">
        <v>0.19500000000000001</v>
      </c>
      <c r="M156" s="85">
        <v>0.19500000000000001</v>
      </c>
      <c r="N156" s="43">
        <v>0.19500000000000001</v>
      </c>
    </row>
    <row r="157" spans="1:14" x14ac:dyDescent="0.25">
      <c r="A157" s="112">
        <v>141</v>
      </c>
      <c r="B157" s="82" t="s">
        <v>520</v>
      </c>
      <c r="C157" s="113">
        <v>0.45600000000000002</v>
      </c>
      <c r="D157" s="113">
        <v>0.45600000000000002</v>
      </c>
      <c r="E157" s="113">
        <v>0.45600000000000002</v>
      </c>
      <c r="F157" s="113">
        <v>0.45600000000000002</v>
      </c>
      <c r="G157" s="113">
        <v>0.45600000000000002</v>
      </c>
      <c r="H157" s="113">
        <v>0.45600000000000002</v>
      </c>
      <c r="I157" s="113">
        <v>0.45600000000000002</v>
      </c>
      <c r="J157" s="113">
        <v>0.45600000000000002</v>
      </c>
      <c r="K157" s="113">
        <v>0.45600000000000002</v>
      </c>
      <c r="L157" s="113">
        <v>0.45600000000000002</v>
      </c>
      <c r="M157" s="113">
        <v>0.45600000000000002</v>
      </c>
      <c r="N157" s="14">
        <v>0.45600000000000002</v>
      </c>
    </row>
    <row r="158" spans="1:14" x14ac:dyDescent="0.25">
      <c r="A158" s="87">
        <v>144</v>
      </c>
      <c r="B158" s="80" t="s">
        <v>216</v>
      </c>
      <c r="C158" s="85">
        <v>0.34899999999999998</v>
      </c>
      <c r="D158" s="85">
        <v>0.34899999999999998</v>
      </c>
      <c r="E158" s="85">
        <v>0.34899999999999998</v>
      </c>
      <c r="F158" s="85">
        <v>0.34899999999999998</v>
      </c>
      <c r="G158" s="85">
        <v>0.34899999999999998</v>
      </c>
      <c r="H158" s="85">
        <v>0.34899999999999998</v>
      </c>
      <c r="I158" s="85">
        <v>0.34899999999999998</v>
      </c>
      <c r="J158" s="85">
        <v>0.34899999999999998</v>
      </c>
      <c r="K158" s="85">
        <v>0.34899999999999998</v>
      </c>
      <c r="L158" s="85">
        <v>0.34899999999999998</v>
      </c>
      <c r="M158" s="85">
        <v>0.34899999999999998</v>
      </c>
      <c r="N158" s="43">
        <v>0.34899999999999998</v>
      </c>
    </row>
    <row r="159" spans="1:14" x14ac:dyDescent="0.25">
      <c r="A159" s="171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72"/>
    </row>
    <row r="160" spans="1:14" x14ac:dyDescent="0.25">
      <c r="A160" s="175" t="s">
        <v>292</v>
      </c>
      <c r="B160" s="150" t="s">
        <v>293</v>
      </c>
      <c r="C160" s="157" t="s">
        <v>308</v>
      </c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76"/>
    </row>
    <row r="161" spans="1:14" x14ac:dyDescent="0.25">
      <c r="A161" s="175"/>
      <c r="B161" s="150"/>
      <c r="C161" s="30" t="s">
        <v>295</v>
      </c>
      <c r="D161" s="30" t="s">
        <v>296</v>
      </c>
      <c r="E161" s="30" t="s">
        <v>297</v>
      </c>
      <c r="F161" s="30" t="s">
        <v>298</v>
      </c>
      <c r="G161" s="30" t="s">
        <v>299</v>
      </c>
      <c r="H161" s="30" t="s">
        <v>300</v>
      </c>
      <c r="I161" s="30" t="s">
        <v>301</v>
      </c>
      <c r="J161" s="30" t="s">
        <v>302</v>
      </c>
      <c r="K161" s="30" t="s">
        <v>303</v>
      </c>
      <c r="L161" s="30" t="s">
        <v>304</v>
      </c>
      <c r="M161" s="30" t="s">
        <v>305</v>
      </c>
      <c r="N161" s="42" t="s">
        <v>306</v>
      </c>
    </row>
    <row r="162" spans="1:14" x14ac:dyDescent="0.25">
      <c r="A162" s="87">
        <v>144</v>
      </c>
      <c r="B162" s="80" t="s">
        <v>216</v>
      </c>
      <c r="C162" s="91">
        <v>6.26</v>
      </c>
      <c r="D162" s="91">
        <v>6.61</v>
      </c>
      <c r="E162" s="91">
        <v>5.77</v>
      </c>
      <c r="F162" s="91">
        <v>4.93</v>
      </c>
      <c r="G162" s="91">
        <v>4.13</v>
      </c>
      <c r="H162" s="91">
        <v>3.67</v>
      </c>
      <c r="I162" s="91">
        <v>3.81</v>
      </c>
      <c r="J162" s="91">
        <v>4.45</v>
      </c>
      <c r="K162" s="91">
        <v>4.37</v>
      </c>
      <c r="L162" s="91">
        <v>4.97</v>
      </c>
      <c r="M162" s="91">
        <v>5.43</v>
      </c>
      <c r="N162" s="92">
        <v>5.35</v>
      </c>
    </row>
    <row r="163" spans="1:14" x14ac:dyDescent="0.25">
      <c r="A163" s="171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72"/>
    </row>
    <row r="164" spans="1:14" ht="18.75" x14ac:dyDescent="0.25">
      <c r="A164" s="173" t="s">
        <v>309</v>
      </c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74"/>
    </row>
    <row r="165" spans="1:14" x14ac:dyDescent="0.25">
      <c r="A165" s="175" t="s">
        <v>292</v>
      </c>
      <c r="B165" s="150" t="s">
        <v>293</v>
      </c>
      <c r="C165" s="150" t="s">
        <v>1</v>
      </c>
      <c r="D165" s="150" t="s">
        <v>2</v>
      </c>
      <c r="E165" s="150" t="s">
        <v>310</v>
      </c>
      <c r="F165" s="150"/>
      <c r="G165" s="150"/>
      <c r="H165" s="150"/>
      <c r="I165" s="30"/>
      <c r="J165" s="30"/>
      <c r="K165" s="30"/>
      <c r="L165" s="30"/>
      <c r="M165" s="30"/>
      <c r="N165" s="42"/>
    </row>
    <row r="166" spans="1:14" x14ac:dyDescent="0.25">
      <c r="A166" s="175"/>
      <c r="B166" s="150"/>
      <c r="C166" s="150"/>
      <c r="D166" s="150"/>
      <c r="E166" s="30" t="s">
        <v>292</v>
      </c>
      <c r="F166" s="30" t="s">
        <v>293</v>
      </c>
      <c r="G166" s="30" t="s">
        <v>1</v>
      </c>
      <c r="H166" s="30" t="s">
        <v>2</v>
      </c>
      <c r="I166" s="30"/>
      <c r="J166" s="30"/>
      <c r="K166" s="30"/>
      <c r="L166" s="30"/>
      <c r="M166" s="30"/>
      <c r="N166" s="42"/>
    </row>
    <row r="167" spans="1:14" x14ac:dyDescent="0.25">
      <c r="A167" s="90" t="s">
        <v>215</v>
      </c>
      <c r="B167" s="80" t="s">
        <v>216</v>
      </c>
      <c r="C167" s="91">
        <v>-19.5</v>
      </c>
      <c r="D167" s="91">
        <v>-40.92</v>
      </c>
      <c r="E167" s="85"/>
      <c r="F167" s="85"/>
      <c r="G167" s="85"/>
      <c r="H167" s="85"/>
      <c r="I167" s="81"/>
      <c r="J167" s="81"/>
      <c r="K167" s="81"/>
      <c r="L167" s="81"/>
      <c r="M167" s="81"/>
      <c r="N167" s="111"/>
    </row>
    <row r="168" spans="1:14" x14ac:dyDescent="0.25">
      <c r="A168" s="171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72"/>
    </row>
    <row r="169" spans="1:14" ht="18.75" x14ac:dyDescent="0.25">
      <c r="A169" s="173" t="s">
        <v>311</v>
      </c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74"/>
    </row>
    <row r="170" spans="1:14" x14ac:dyDescent="0.25">
      <c r="A170" s="175" t="s">
        <v>292</v>
      </c>
      <c r="B170" s="150" t="s">
        <v>293</v>
      </c>
      <c r="C170" s="151" t="s">
        <v>312</v>
      </c>
      <c r="D170" s="152"/>
      <c r="E170" s="152"/>
      <c r="F170" s="153"/>
      <c r="G170" s="151" t="s">
        <v>313</v>
      </c>
      <c r="H170" s="152"/>
      <c r="I170" s="152"/>
      <c r="J170" s="153"/>
      <c r="K170" s="30"/>
      <c r="L170" s="30"/>
      <c r="M170" s="30"/>
      <c r="N170" s="42"/>
    </row>
    <row r="171" spans="1:14" x14ac:dyDescent="0.25">
      <c r="A171" s="175"/>
      <c r="B171" s="150"/>
      <c r="C171" s="154"/>
      <c r="D171" s="155"/>
      <c r="E171" s="155"/>
      <c r="F171" s="156"/>
      <c r="G171" s="154"/>
      <c r="H171" s="155"/>
      <c r="I171" s="155"/>
      <c r="J171" s="156"/>
      <c r="K171" s="30"/>
      <c r="L171" s="30"/>
      <c r="M171" s="30"/>
      <c r="N171" s="42"/>
    </row>
    <row r="172" spans="1:14" ht="15.75" thickBot="1" x14ac:dyDescent="0.3">
      <c r="A172" s="49"/>
      <c r="B172" s="50"/>
      <c r="C172" s="177"/>
      <c r="D172" s="177"/>
      <c r="E172" s="177"/>
      <c r="F172" s="177"/>
      <c r="G172" s="177"/>
      <c r="H172" s="177"/>
      <c r="I172" s="177"/>
      <c r="J172" s="177"/>
      <c r="K172" s="51"/>
      <c r="L172" s="51"/>
      <c r="M172" s="51"/>
      <c r="N172" s="52"/>
    </row>
    <row r="173" spans="1:14" ht="16.5" thickTop="1" thickBot="1" x14ac:dyDescent="0.3"/>
    <row r="174" spans="1:14" ht="19.5" thickTop="1" x14ac:dyDescent="0.25">
      <c r="A174" s="178" t="s">
        <v>521</v>
      </c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80"/>
    </row>
    <row r="175" spans="1:14" x14ac:dyDescent="0.25">
      <c r="A175" s="171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72"/>
    </row>
    <row r="176" spans="1:14" ht="18.75" x14ac:dyDescent="0.25">
      <c r="A176" s="173" t="s">
        <v>291</v>
      </c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74"/>
    </row>
    <row r="177" spans="1:14" x14ac:dyDescent="0.25">
      <c r="A177" s="175" t="s">
        <v>292</v>
      </c>
      <c r="B177" s="150" t="s">
        <v>293</v>
      </c>
      <c r="C177" s="157" t="s">
        <v>294</v>
      </c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76"/>
    </row>
    <row r="178" spans="1:14" x14ac:dyDescent="0.25">
      <c r="A178" s="175"/>
      <c r="B178" s="150"/>
      <c r="C178" s="30" t="s">
        <v>295</v>
      </c>
      <c r="D178" s="30" t="s">
        <v>296</v>
      </c>
      <c r="E178" s="30" t="s">
        <v>297</v>
      </c>
      <c r="F178" s="30" t="s">
        <v>298</v>
      </c>
      <c r="G178" s="30" t="s">
        <v>299</v>
      </c>
      <c r="H178" s="30" t="s">
        <v>300</v>
      </c>
      <c r="I178" s="30" t="s">
        <v>301</v>
      </c>
      <c r="J178" s="30" t="s">
        <v>302</v>
      </c>
      <c r="K178" s="30" t="s">
        <v>303</v>
      </c>
      <c r="L178" s="30" t="s">
        <v>304</v>
      </c>
      <c r="M178" s="30" t="s">
        <v>305</v>
      </c>
      <c r="N178" s="42" t="s">
        <v>306</v>
      </c>
    </row>
    <row r="179" spans="1:14" x14ac:dyDescent="0.25">
      <c r="A179" s="87">
        <v>196</v>
      </c>
      <c r="B179" s="80" t="s">
        <v>208</v>
      </c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2"/>
    </row>
    <row r="180" spans="1:14" x14ac:dyDescent="0.25">
      <c r="A180" s="171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72"/>
    </row>
    <row r="181" spans="1:14" x14ac:dyDescent="0.25">
      <c r="A181" s="175" t="s">
        <v>292</v>
      </c>
      <c r="B181" s="150" t="s">
        <v>293</v>
      </c>
      <c r="C181" s="157" t="s">
        <v>308</v>
      </c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76"/>
    </row>
    <row r="182" spans="1:14" x14ac:dyDescent="0.25">
      <c r="A182" s="175"/>
      <c r="B182" s="150"/>
      <c r="C182" s="30" t="s">
        <v>295</v>
      </c>
      <c r="D182" s="30" t="s">
        <v>296</v>
      </c>
      <c r="E182" s="30" t="s">
        <v>297</v>
      </c>
      <c r="F182" s="30" t="s">
        <v>298</v>
      </c>
      <c r="G182" s="30" t="s">
        <v>299</v>
      </c>
      <c r="H182" s="30" t="s">
        <v>300</v>
      </c>
      <c r="I182" s="30" t="s">
        <v>301</v>
      </c>
      <c r="J182" s="30" t="s">
        <v>302</v>
      </c>
      <c r="K182" s="30" t="s">
        <v>303</v>
      </c>
      <c r="L182" s="30" t="s">
        <v>304</v>
      </c>
      <c r="M182" s="30" t="s">
        <v>305</v>
      </c>
      <c r="N182" s="42" t="s">
        <v>306</v>
      </c>
    </row>
    <row r="183" spans="1:14" x14ac:dyDescent="0.25">
      <c r="A183" s="87">
        <v>196</v>
      </c>
      <c r="B183" s="80" t="s">
        <v>208</v>
      </c>
      <c r="C183" s="91">
        <v>5.32</v>
      </c>
      <c r="D183" s="91">
        <v>5.54</v>
      </c>
      <c r="E183" s="91">
        <v>4.6500000000000004</v>
      </c>
      <c r="F183" s="91">
        <v>3.63</v>
      </c>
      <c r="G183" s="91">
        <v>2.81</v>
      </c>
      <c r="H183" s="91">
        <v>2.2999999999999998</v>
      </c>
      <c r="I183" s="91">
        <v>2.52</v>
      </c>
      <c r="J183" s="91">
        <v>3.32</v>
      </c>
      <c r="K183" s="91">
        <v>3.73</v>
      </c>
      <c r="L183" s="91">
        <v>4.1900000000000004</v>
      </c>
      <c r="M183" s="91">
        <v>4.57</v>
      </c>
      <c r="N183" s="92">
        <v>4.6500000000000004</v>
      </c>
    </row>
    <row r="184" spans="1:14" x14ac:dyDescent="0.25">
      <c r="A184" s="194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6"/>
    </row>
    <row r="185" spans="1:14" ht="18.75" x14ac:dyDescent="0.25">
      <c r="A185" s="173" t="s">
        <v>309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4"/>
    </row>
    <row r="186" spans="1:14" x14ac:dyDescent="0.25">
      <c r="A186" s="175" t="s">
        <v>292</v>
      </c>
      <c r="B186" s="150" t="s">
        <v>293</v>
      </c>
      <c r="C186" s="150" t="s">
        <v>1</v>
      </c>
      <c r="D186" s="150" t="s">
        <v>2</v>
      </c>
      <c r="E186" s="150" t="s">
        <v>310</v>
      </c>
      <c r="F186" s="150"/>
      <c r="G186" s="150"/>
      <c r="H186" s="150"/>
      <c r="I186" s="30"/>
      <c r="J186" s="30"/>
      <c r="K186" s="30"/>
      <c r="L186" s="30"/>
      <c r="M186" s="30"/>
      <c r="N186" s="42"/>
    </row>
    <row r="187" spans="1:14" x14ac:dyDescent="0.25">
      <c r="A187" s="175"/>
      <c r="B187" s="150"/>
      <c r="C187" s="150"/>
      <c r="D187" s="150"/>
      <c r="E187" s="30" t="s">
        <v>292</v>
      </c>
      <c r="F187" s="30" t="s">
        <v>293</v>
      </c>
      <c r="G187" s="30" t="s">
        <v>1</v>
      </c>
      <c r="H187" s="30" t="s">
        <v>2</v>
      </c>
      <c r="I187" s="30"/>
      <c r="J187" s="30"/>
      <c r="K187" s="30"/>
      <c r="L187" s="30"/>
      <c r="M187" s="30"/>
      <c r="N187" s="42"/>
    </row>
    <row r="188" spans="1:14" x14ac:dyDescent="0.25">
      <c r="A188" s="87" t="s">
        <v>207</v>
      </c>
      <c r="B188" s="80" t="s">
        <v>208</v>
      </c>
      <c r="C188" s="91">
        <v>-20.92</v>
      </c>
      <c r="D188" s="91">
        <v>-41.72</v>
      </c>
      <c r="E188" s="85"/>
      <c r="F188" s="85"/>
      <c r="G188" s="85"/>
      <c r="H188" s="85"/>
      <c r="I188" s="116"/>
      <c r="J188" s="85"/>
      <c r="K188" s="85"/>
      <c r="L188" s="85"/>
      <c r="M188" s="85"/>
      <c r="N188" s="72"/>
    </row>
    <row r="189" spans="1:14" x14ac:dyDescent="0.25">
      <c r="A189" s="194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6"/>
    </row>
    <row r="190" spans="1:14" ht="18.75" x14ac:dyDescent="0.25">
      <c r="A190" s="173" t="s">
        <v>311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4"/>
    </row>
    <row r="191" spans="1:14" x14ac:dyDescent="0.25">
      <c r="A191" s="175" t="s">
        <v>292</v>
      </c>
      <c r="B191" s="150" t="s">
        <v>293</v>
      </c>
      <c r="C191" s="151" t="s">
        <v>312</v>
      </c>
      <c r="D191" s="152"/>
      <c r="E191" s="152"/>
      <c r="F191" s="153"/>
      <c r="G191" s="151" t="s">
        <v>313</v>
      </c>
      <c r="H191" s="152"/>
      <c r="I191" s="152"/>
      <c r="J191" s="153"/>
      <c r="K191" s="30"/>
      <c r="L191" s="30"/>
      <c r="M191" s="30"/>
      <c r="N191" s="42"/>
    </row>
    <row r="192" spans="1:14" x14ac:dyDescent="0.25">
      <c r="A192" s="175"/>
      <c r="B192" s="150"/>
      <c r="C192" s="154"/>
      <c r="D192" s="155"/>
      <c r="E192" s="155"/>
      <c r="F192" s="156"/>
      <c r="G192" s="154"/>
      <c r="H192" s="155"/>
      <c r="I192" s="155"/>
      <c r="J192" s="156"/>
      <c r="K192" s="30"/>
      <c r="L192" s="30"/>
      <c r="M192" s="30"/>
      <c r="N192" s="42"/>
    </row>
    <row r="193" spans="1:14" ht="15.75" thickBot="1" x14ac:dyDescent="0.3">
      <c r="A193" s="49"/>
      <c r="B193" s="50"/>
      <c r="C193" s="177"/>
      <c r="D193" s="177"/>
      <c r="E193" s="177"/>
      <c r="F193" s="177"/>
      <c r="G193" s="177"/>
      <c r="H193" s="177"/>
      <c r="I193" s="177"/>
      <c r="J193" s="177"/>
      <c r="K193" s="51"/>
      <c r="L193" s="51"/>
      <c r="M193" s="51"/>
      <c r="N193" s="52"/>
    </row>
    <row r="194" spans="1:14" ht="16.5" thickTop="1" thickBot="1" x14ac:dyDescent="0.3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</row>
    <row r="195" spans="1:14" ht="19.5" thickTop="1" x14ac:dyDescent="0.25">
      <c r="A195" s="178" t="s">
        <v>522</v>
      </c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80"/>
    </row>
    <row r="196" spans="1:14" x14ac:dyDescent="0.25">
      <c r="A196" s="171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72"/>
    </row>
    <row r="197" spans="1:14" ht="18.75" x14ac:dyDescent="0.25">
      <c r="A197" s="173" t="s">
        <v>291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4"/>
    </row>
    <row r="198" spans="1:14" x14ac:dyDescent="0.25">
      <c r="A198" s="175" t="s">
        <v>292</v>
      </c>
      <c r="B198" s="150" t="s">
        <v>293</v>
      </c>
      <c r="C198" s="157" t="s">
        <v>294</v>
      </c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76"/>
    </row>
    <row r="199" spans="1:14" x14ac:dyDescent="0.25">
      <c r="A199" s="175"/>
      <c r="B199" s="150"/>
      <c r="C199" s="30" t="s">
        <v>295</v>
      </c>
      <c r="D199" s="30" t="s">
        <v>296</v>
      </c>
      <c r="E199" s="30" t="s">
        <v>297</v>
      </c>
      <c r="F199" s="30" t="s">
        <v>298</v>
      </c>
      <c r="G199" s="30" t="s">
        <v>299</v>
      </c>
      <c r="H199" s="30" t="s">
        <v>300</v>
      </c>
      <c r="I199" s="30" t="s">
        <v>301</v>
      </c>
      <c r="J199" s="30" t="s">
        <v>302</v>
      </c>
      <c r="K199" s="30" t="s">
        <v>303</v>
      </c>
      <c r="L199" s="30" t="s">
        <v>304</v>
      </c>
      <c r="M199" s="30" t="s">
        <v>305</v>
      </c>
      <c r="N199" s="42" t="s">
        <v>306</v>
      </c>
    </row>
    <row r="200" spans="1:14" x14ac:dyDescent="0.25">
      <c r="A200" s="87">
        <v>283</v>
      </c>
      <c r="B200" s="80" t="s">
        <v>523</v>
      </c>
      <c r="C200" s="85"/>
      <c r="D200" s="85"/>
      <c r="E200" s="85"/>
      <c r="F200" s="85"/>
      <c r="G200" s="85"/>
      <c r="H200" s="85"/>
      <c r="I200" s="116"/>
      <c r="J200" s="85"/>
      <c r="K200" s="85"/>
      <c r="L200" s="85"/>
      <c r="M200" s="85"/>
      <c r="N200" s="72"/>
    </row>
    <row r="201" spans="1:14" x14ac:dyDescent="0.25">
      <c r="A201" s="171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72"/>
    </row>
    <row r="202" spans="1:14" x14ac:dyDescent="0.25">
      <c r="A202" s="175" t="s">
        <v>292</v>
      </c>
      <c r="B202" s="150" t="s">
        <v>293</v>
      </c>
      <c r="C202" s="157" t="s">
        <v>308</v>
      </c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76"/>
    </row>
    <row r="203" spans="1:14" x14ac:dyDescent="0.25">
      <c r="A203" s="175"/>
      <c r="B203" s="150"/>
      <c r="C203" s="30" t="s">
        <v>295</v>
      </c>
      <c r="D203" s="30" t="s">
        <v>296</v>
      </c>
      <c r="E203" s="30" t="s">
        <v>297</v>
      </c>
      <c r="F203" s="30" t="s">
        <v>298</v>
      </c>
      <c r="G203" s="30" t="s">
        <v>299</v>
      </c>
      <c r="H203" s="30" t="s">
        <v>300</v>
      </c>
      <c r="I203" s="30" t="s">
        <v>301</v>
      </c>
      <c r="J203" s="30" t="s">
        <v>302</v>
      </c>
      <c r="K203" s="30" t="s">
        <v>303</v>
      </c>
      <c r="L203" s="30" t="s">
        <v>304</v>
      </c>
      <c r="M203" s="30" t="s">
        <v>305</v>
      </c>
      <c r="N203" s="42" t="s">
        <v>306</v>
      </c>
    </row>
    <row r="204" spans="1:14" x14ac:dyDescent="0.25">
      <c r="A204" s="87">
        <v>283</v>
      </c>
      <c r="B204" s="80" t="s">
        <v>523</v>
      </c>
      <c r="C204" s="91">
        <v>5.84</v>
      </c>
      <c r="D204" s="91">
        <v>6.04</v>
      </c>
      <c r="E204" s="91">
        <v>5.35</v>
      </c>
      <c r="F204" s="91">
        <v>4.67</v>
      </c>
      <c r="G204" s="91">
        <v>3.87</v>
      </c>
      <c r="H204" s="91">
        <v>3.33</v>
      </c>
      <c r="I204" s="91">
        <v>3.35</v>
      </c>
      <c r="J204" s="91">
        <v>4.16</v>
      </c>
      <c r="K204" s="91">
        <v>4.33</v>
      </c>
      <c r="L204" s="91">
        <v>4.7699999999999996</v>
      </c>
      <c r="M204" s="91">
        <v>5</v>
      </c>
      <c r="N204" s="92">
        <v>5.13</v>
      </c>
    </row>
    <row r="205" spans="1:14" x14ac:dyDescent="0.25">
      <c r="A205" s="171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72"/>
    </row>
    <row r="206" spans="1:14" ht="18.75" x14ac:dyDescent="0.25">
      <c r="A206" s="173" t="s">
        <v>309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74"/>
    </row>
    <row r="207" spans="1:14" x14ac:dyDescent="0.25">
      <c r="A207" s="175" t="s">
        <v>292</v>
      </c>
      <c r="B207" s="150" t="s">
        <v>293</v>
      </c>
      <c r="C207" s="150" t="s">
        <v>1</v>
      </c>
      <c r="D207" s="150" t="s">
        <v>2</v>
      </c>
      <c r="E207" s="150" t="s">
        <v>310</v>
      </c>
      <c r="F207" s="150"/>
      <c r="G207" s="150"/>
      <c r="H207" s="150"/>
      <c r="I207" s="30"/>
      <c r="J207" s="30"/>
      <c r="K207" s="30"/>
      <c r="L207" s="30"/>
      <c r="M207" s="30"/>
      <c r="N207" s="42"/>
    </row>
    <row r="208" spans="1:14" x14ac:dyDescent="0.25">
      <c r="A208" s="175"/>
      <c r="B208" s="150"/>
      <c r="C208" s="150"/>
      <c r="D208" s="150"/>
      <c r="E208" s="30" t="s">
        <v>292</v>
      </c>
      <c r="F208" s="30" t="s">
        <v>293</v>
      </c>
      <c r="G208" s="30" t="s">
        <v>1</v>
      </c>
      <c r="H208" s="30" t="s">
        <v>2</v>
      </c>
      <c r="I208" s="30"/>
      <c r="J208" s="30"/>
      <c r="K208" s="30"/>
      <c r="L208" s="30"/>
      <c r="M208" s="30"/>
      <c r="N208" s="42"/>
    </row>
    <row r="209" spans="1:14" x14ac:dyDescent="0.25">
      <c r="A209" s="90" t="s">
        <v>206</v>
      </c>
      <c r="B209" s="80" t="s">
        <v>524</v>
      </c>
      <c r="C209" s="91">
        <v>-17.899999999999999</v>
      </c>
      <c r="D209" s="91">
        <v>-40.200000000000003</v>
      </c>
      <c r="E209" s="71"/>
      <c r="F209" s="71"/>
      <c r="G209" s="71"/>
      <c r="H209" s="71"/>
      <c r="I209" s="73"/>
      <c r="J209" s="73"/>
      <c r="K209" s="73"/>
      <c r="L209" s="73"/>
      <c r="M209" s="73"/>
      <c r="N209" s="74"/>
    </row>
    <row r="210" spans="1:14" x14ac:dyDescent="0.25">
      <c r="A210" s="171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72"/>
    </row>
    <row r="211" spans="1:14" ht="18.75" x14ac:dyDescent="0.25">
      <c r="A211" s="173" t="s">
        <v>311</v>
      </c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74"/>
    </row>
    <row r="212" spans="1:14" x14ac:dyDescent="0.25">
      <c r="A212" s="175" t="s">
        <v>292</v>
      </c>
      <c r="B212" s="150" t="s">
        <v>293</v>
      </c>
      <c r="C212" s="151" t="s">
        <v>312</v>
      </c>
      <c r="D212" s="152"/>
      <c r="E212" s="152"/>
      <c r="F212" s="153"/>
      <c r="G212" s="151" t="s">
        <v>313</v>
      </c>
      <c r="H212" s="152"/>
      <c r="I212" s="152"/>
      <c r="J212" s="153"/>
      <c r="K212" s="30"/>
      <c r="L212" s="30"/>
      <c r="M212" s="30"/>
      <c r="N212" s="42"/>
    </row>
    <row r="213" spans="1:14" x14ac:dyDescent="0.25">
      <c r="A213" s="175"/>
      <c r="B213" s="150"/>
      <c r="C213" s="154"/>
      <c r="D213" s="155"/>
      <c r="E213" s="155"/>
      <c r="F213" s="156"/>
      <c r="G213" s="154"/>
      <c r="H213" s="155"/>
      <c r="I213" s="155"/>
      <c r="J213" s="156"/>
      <c r="K213" s="30"/>
      <c r="L213" s="30"/>
      <c r="M213" s="30"/>
      <c r="N213" s="42"/>
    </row>
    <row r="214" spans="1:14" ht="15.75" thickBot="1" x14ac:dyDescent="0.3">
      <c r="A214" s="17"/>
      <c r="B214" s="18"/>
      <c r="C214" s="142"/>
      <c r="D214" s="142"/>
      <c r="E214" s="142"/>
      <c r="F214" s="142"/>
      <c r="G214" s="142"/>
      <c r="H214" s="142"/>
      <c r="I214" s="142"/>
      <c r="J214" s="142"/>
      <c r="K214" s="19"/>
      <c r="L214" s="19"/>
      <c r="M214" s="19"/>
      <c r="N214" s="20"/>
    </row>
    <row r="215" spans="1:14" ht="16.5" thickTop="1" thickBot="1" x14ac:dyDescent="0.3"/>
    <row r="216" spans="1:14" ht="19.5" thickTop="1" x14ac:dyDescent="0.25">
      <c r="A216" s="160" t="s">
        <v>525</v>
      </c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2"/>
    </row>
    <row r="217" spans="1:14" x14ac:dyDescent="0.25">
      <c r="A217" s="143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5"/>
    </row>
    <row r="218" spans="1:14" ht="18.75" x14ac:dyDescent="0.25">
      <c r="A218" s="146" t="s">
        <v>291</v>
      </c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8"/>
    </row>
    <row r="219" spans="1:14" x14ac:dyDescent="0.25">
      <c r="A219" s="149" t="s">
        <v>292</v>
      </c>
      <c r="B219" s="150" t="s">
        <v>293</v>
      </c>
      <c r="C219" s="157" t="s">
        <v>294</v>
      </c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9"/>
    </row>
    <row r="220" spans="1:14" x14ac:dyDescent="0.25">
      <c r="A220" s="149"/>
      <c r="B220" s="150"/>
      <c r="C220" s="30" t="s">
        <v>295</v>
      </c>
      <c r="D220" s="30" t="s">
        <v>296</v>
      </c>
      <c r="E220" s="30" t="s">
        <v>297</v>
      </c>
      <c r="F220" s="30" t="s">
        <v>298</v>
      </c>
      <c r="G220" s="30" t="s">
        <v>299</v>
      </c>
      <c r="H220" s="30" t="s">
        <v>300</v>
      </c>
      <c r="I220" s="30" t="s">
        <v>301</v>
      </c>
      <c r="J220" s="30" t="s">
        <v>302</v>
      </c>
      <c r="K220" s="30" t="s">
        <v>303</v>
      </c>
      <c r="L220" s="30" t="s">
        <v>304</v>
      </c>
      <c r="M220" s="30" t="s">
        <v>305</v>
      </c>
      <c r="N220" s="10" t="s">
        <v>306</v>
      </c>
    </row>
    <row r="221" spans="1:14" x14ac:dyDescent="0.25">
      <c r="A221" s="11">
        <v>121</v>
      </c>
      <c r="B221" s="5" t="s">
        <v>526</v>
      </c>
      <c r="C221" s="6">
        <v>0.873</v>
      </c>
      <c r="D221" s="6">
        <v>0.873</v>
      </c>
      <c r="E221" s="6">
        <v>0.873</v>
      </c>
      <c r="F221" s="6">
        <v>0.873</v>
      </c>
      <c r="G221" s="6">
        <v>0.873</v>
      </c>
      <c r="H221" s="6">
        <v>0.873</v>
      </c>
      <c r="I221" s="6">
        <v>0.873</v>
      </c>
      <c r="J221" s="6">
        <v>0.873</v>
      </c>
      <c r="K221" s="6">
        <v>0.873</v>
      </c>
      <c r="L221" s="6">
        <v>0.873</v>
      </c>
      <c r="M221" s="6">
        <v>0.873</v>
      </c>
      <c r="N221" s="12">
        <v>0.873</v>
      </c>
    </row>
    <row r="222" spans="1:14" x14ac:dyDescent="0.25">
      <c r="A222" s="13">
        <v>122</v>
      </c>
      <c r="B222" s="3" t="s">
        <v>527</v>
      </c>
      <c r="C222" s="7">
        <v>0.127</v>
      </c>
      <c r="D222" s="7">
        <v>0.127</v>
      </c>
      <c r="E222" s="7">
        <v>0.127</v>
      </c>
      <c r="F222" s="7">
        <v>0.127</v>
      </c>
      <c r="G222" s="7">
        <v>0.127</v>
      </c>
      <c r="H222" s="7">
        <v>0.127</v>
      </c>
      <c r="I222" s="7">
        <v>0.127</v>
      </c>
      <c r="J222" s="7">
        <v>0.127</v>
      </c>
      <c r="K222" s="7">
        <v>0.127</v>
      </c>
      <c r="L222" s="7">
        <v>0.127</v>
      </c>
      <c r="M222" s="7">
        <v>0.127</v>
      </c>
      <c r="N222" s="14">
        <v>0.127</v>
      </c>
    </row>
    <row r="223" spans="1:14" x14ac:dyDescent="0.25">
      <c r="A223" s="143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5"/>
    </row>
    <row r="224" spans="1:14" x14ac:dyDescent="0.25">
      <c r="A224" s="149" t="s">
        <v>292</v>
      </c>
      <c r="B224" s="150" t="s">
        <v>293</v>
      </c>
      <c r="C224" s="157" t="s">
        <v>308</v>
      </c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9"/>
    </row>
    <row r="225" spans="1:29" x14ac:dyDescent="0.25">
      <c r="A225" s="149"/>
      <c r="B225" s="150"/>
      <c r="C225" s="30" t="s">
        <v>295</v>
      </c>
      <c r="D225" s="30" t="s">
        <v>296</v>
      </c>
      <c r="E225" s="30" t="s">
        <v>297</v>
      </c>
      <c r="F225" s="30" t="s">
        <v>298</v>
      </c>
      <c r="G225" s="30" t="s">
        <v>299</v>
      </c>
      <c r="H225" s="30" t="s">
        <v>300</v>
      </c>
      <c r="I225" s="30" t="s">
        <v>301</v>
      </c>
      <c r="J225" s="30" t="s">
        <v>302</v>
      </c>
      <c r="K225" s="30" t="s">
        <v>303</v>
      </c>
      <c r="L225" s="30" t="s">
        <v>304</v>
      </c>
      <c r="M225" s="30" t="s">
        <v>305</v>
      </c>
      <c r="N225" s="10" t="s">
        <v>306</v>
      </c>
    </row>
    <row r="226" spans="1:29" x14ac:dyDescent="0.25">
      <c r="A226" s="11">
        <v>122</v>
      </c>
      <c r="B226" s="5" t="s">
        <v>527</v>
      </c>
      <c r="C226" s="29">
        <v>4.967741935483871</v>
      </c>
      <c r="D226" s="29">
        <v>5</v>
      </c>
      <c r="E226" s="29">
        <v>4.419354838709677</v>
      </c>
      <c r="F226" s="29">
        <v>3.4666666666666668</v>
      </c>
      <c r="G226" s="29">
        <v>2.6774193548387095</v>
      </c>
      <c r="H226" s="29">
        <v>2.3333333333333335</v>
      </c>
      <c r="I226" s="29">
        <v>2.7096774193548385</v>
      </c>
      <c r="J226" s="29">
        <v>3.4193548387096775</v>
      </c>
      <c r="K226" s="29">
        <v>3.7333333333333334</v>
      </c>
      <c r="L226" s="29">
        <v>4.354838709677419</v>
      </c>
      <c r="M226" s="29">
        <v>4.833333333333333</v>
      </c>
      <c r="N226" s="36">
        <v>4.67741935483871</v>
      </c>
    </row>
    <row r="227" spans="1:29" x14ac:dyDescent="0.25">
      <c r="A227" s="165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7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</row>
    <row r="228" spans="1:29" ht="18.75" x14ac:dyDescent="0.25">
      <c r="A228" s="146" t="s">
        <v>309</v>
      </c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8"/>
    </row>
    <row r="229" spans="1:29" x14ac:dyDescent="0.25">
      <c r="A229" s="149" t="s">
        <v>292</v>
      </c>
      <c r="B229" s="150" t="s">
        <v>293</v>
      </c>
      <c r="C229" s="150" t="s">
        <v>1</v>
      </c>
      <c r="D229" s="150" t="s">
        <v>2</v>
      </c>
      <c r="E229" s="150" t="s">
        <v>310</v>
      </c>
      <c r="F229" s="150"/>
      <c r="G229" s="150"/>
      <c r="H229" s="150"/>
      <c r="I229" s="30"/>
      <c r="J229" s="30"/>
      <c r="K229" s="30"/>
      <c r="L229" s="30"/>
      <c r="M229" s="30"/>
      <c r="N229" s="10"/>
    </row>
    <row r="230" spans="1:29" x14ac:dyDescent="0.25">
      <c r="A230" s="149"/>
      <c r="B230" s="150"/>
      <c r="C230" s="150"/>
      <c r="D230" s="150"/>
      <c r="E230" s="30" t="s">
        <v>292</v>
      </c>
      <c r="F230" s="30" t="s">
        <v>293</v>
      </c>
      <c r="G230" s="30" t="s">
        <v>1</v>
      </c>
      <c r="H230" s="30" t="s">
        <v>2</v>
      </c>
      <c r="I230" s="30"/>
      <c r="J230" s="30"/>
      <c r="K230" s="30"/>
      <c r="L230" s="30"/>
      <c r="M230" s="30"/>
      <c r="N230" s="10"/>
    </row>
    <row r="231" spans="1:29" x14ac:dyDescent="0.25">
      <c r="A231" s="15" t="s">
        <v>217</v>
      </c>
      <c r="B231" s="5" t="s">
        <v>527</v>
      </c>
      <c r="C231" s="35">
        <v>-23.37</v>
      </c>
      <c r="D231" s="35">
        <v>-45.87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16"/>
    </row>
    <row r="232" spans="1:29" x14ac:dyDescent="0.25">
      <c r="A232" s="143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5"/>
    </row>
    <row r="233" spans="1:29" ht="18.75" x14ac:dyDescent="0.25">
      <c r="A233" s="146" t="s">
        <v>311</v>
      </c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8"/>
    </row>
    <row r="234" spans="1:29" x14ac:dyDescent="0.25">
      <c r="A234" s="149" t="s">
        <v>292</v>
      </c>
      <c r="B234" s="150" t="s">
        <v>293</v>
      </c>
      <c r="C234" s="151" t="s">
        <v>312</v>
      </c>
      <c r="D234" s="152"/>
      <c r="E234" s="152"/>
      <c r="F234" s="153"/>
      <c r="G234" s="151" t="s">
        <v>313</v>
      </c>
      <c r="H234" s="152"/>
      <c r="I234" s="152"/>
      <c r="J234" s="153"/>
      <c r="K234" s="30"/>
      <c r="L234" s="30"/>
      <c r="M234" s="30"/>
      <c r="N234" s="10"/>
    </row>
    <row r="235" spans="1:29" x14ac:dyDescent="0.25">
      <c r="A235" s="149"/>
      <c r="B235" s="150"/>
      <c r="C235" s="154"/>
      <c r="D235" s="155"/>
      <c r="E235" s="155"/>
      <c r="F235" s="156"/>
      <c r="G235" s="154"/>
      <c r="H235" s="155"/>
      <c r="I235" s="155"/>
      <c r="J235" s="156"/>
      <c r="K235" s="30"/>
      <c r="L235" s="30"/>
      <c r="M235" s="30"/>
      <c r="N235" s="10"/>
    </row>
    <row r="236" spans="1:29" ht="15.75" thickBot="1" x14ac:dyDescent="0.3">
      <c r="A236" s="17"/>
      <c r="B236" s="18"/>
      <c r="C236" s="142"/>
      <c r="D236" s="142"/>
      <c r="E236" s="142"/>
      <c r="F236" s="142"/>
      <c r="G236" s="142"/>
      <c r="H236" s="142"/>
      <c r="I236" s="142"/>
      <c r="J236" s="142"/>
      <c r="K236" s="19"/>
      <c r="L236" s="19"/>
      <c r="M236" s="19"/>
      <c r="N236" s="20"/>
    </row>
    <row r="237" spans="1:29" ht="16.5" thickTop="1" thickBot="1" x14ac:dyDescent="0.3"/>
    <row r="238" spans="1:29" ht="19.5" thickTop="1" x14ac:dyDescent="0.25">
      <c r="A238" s="178" t="s">
        <v>528</v>
      </c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80"/>
    </row>
    <row r="239" spans="1:29" x14ac:dyDescent="0.25">
      <c r="A239" s="171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72"/>
    </row>
    <row r="240" spans="1:29" ht="18.75" x14ac:dyDescent="0.25">
      <c r="A240" s="173" t="s">
        <v>291</v>
      </c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74"/>
    </row>
    <row r="241" spans="1:28" x14ac:dyDescent="0.25">
      <c r="A241" s="175" t="s">
        <v>292</v>
      </c>
      <c r="B241" s="150" t="s">
        <v>293</v>
      </c>
      <c r="C241" s="157" t="s">
        <v>294</v>
      </c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76"/>
    </row>
    <row r="242" spans="1:28" x14ac:dyDescent="0.25">
      <c r="A242" s="175"/>
      <c r="B242" s="150"/>
      <c r="C242" s="30" t="s">
        <v>295</v>
      </c>
      <c r="D242" s="30" t="s">
        <v>296</v>
      </c>
      <c r="E242" s="30" t="s">
        <v>297</v>
      </c>
      <c r="F242" s="30" t="s">
        <v>298</v>
      </c>
      <c r="G242" s="30" t="s">
        <v>299</v>
      </c>
      <c r="H242" s="30" t="s">
        <v>300</v>
      </c>
      <c r="I242" s="30" t="s">
        <v>301</v>
      </c>
      <c r="J242" s="30" t="s">
        <v>302</v>
      </c>
      <c r="K242" s="30" t="s">
        <v>303</v>
      </c>
      <c r="L242" s="30" t="s">
        <v>304</v>
      </c>
      <c r="M242" s="30" t="s">
        <v>305</v>
      </c>
      <c r="N242" s="42" t="s">
        <v>306</v>
      </c>
    </row>
    <row r="243" spans="1:28" x14ac:dyDescent="0.25">
      <c r="A243" s="87">
        <v>120</v>
      </c>
      <c r="B243" s="80" t="s">
        <v>220</v>
      </c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2"/>
    </row>
    <row r="244" spans="1:28" x14ac:dyDescent="0.25">
      <c r="A244" s="171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72"/>
    </row>
    <row r="245" spans="1:28" x14ac:dyDescent="0.25">
      <c r="A245" s="175" t="s">
        <v>292</v>
      </c>
      <c r="B245" s="150" t="s">
        <v>293</v>
      </c>
      <c r="C245" s="157" t="s">
        <v>308</v>
      </c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76"/>
    </row>
    <row r="246" spans="1:28" x14ac:dyDescent="0.25">
      <c r="A246" s="175"/>
      <c r="B246" s="150"/>
      <c r="C246" s="30" t="s">
        <v>295</v>
      </c>
      <c r="D246" s="30" t="s">
        <v>296</v>
      </c>
      <c r="E246" s="30" t="s">
        <v>297</v>
      </c>
      <c r="F246" s="30" t="s">
        <v>298</v>
      </c>
      <c r="G246" s="30" t="s">
        <v>299</v>
      </c>
      <c r="H246" s="30" t="s">
        <v>300</v>
      </c>
      <c r="I246" s="30" t="s">
        <v>301</v>
      </c>
      <c r="J246" s="30" t="s">
        <v>302</v>
      </c>
      <c r="K246" s="30" t="s">
        <v>303</v>
      </c>
      <c r="L246" s="30" t="s">
        <v>304</v>
      </c>
      <c r="M246" s="30" t="s">
        <v>305</v>
      </c>
      <c r="N246" s="42" t="s">
        <v>306</v>
      </c>
    </row>
    <row r="247" spans="1:28" x14ac:dyDescent="0.25">
      <c r="A247" s="87">
        <v>120</v>
      </c>
      <c r="B247" s="80" t="s">
        <v>220</v>
      </c>
      <c r="C247" s="91">
        <v>4.935483870967742</v>
      </c>
      <c r="D247" s="91">
        <v>5.1428571428571432</v>
      </c>
      <c r="E247" s="91">
        <v>4.67741935483871</v>
      </c>
      <c r="F247" s="91">
        <v>3.8</v>
      </c>
      <c r="G247" s="91">
        <v>2.967741935483871</v>
      </c>
      <c r="H247" s="91">
        <v>2.6</v>
      </c>
      <c r="I247" s="91">
        <v>3.096774193548387</v>
      </c>
      <c r="J247" s="91">
        <v>4</v>
      </c>
      <c r="K247" s="91">
        <v>4.333333333333333</v>
      </c>
      <c r="L247" s="91">
        <v>4.935483870967742</v>
      </c>
      <c r="M247" s="91">
        <v>5.166666666666667</v>
      </c>
      <c r="N247" s="92">
        <v>4.741935483870968</v>
      </c>
    </row>
    <row r="248" spans="1:28" x14ac:dyDescent="0.25">
      <c r="A248" s="194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6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</row>
    <row r="249" spans="1:28" ht="18.75" x14ac:dyDescent="0.25">
      <c r="A249" s="173" t="s">
        <v>309</v>
      </c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74"/>
    </row>
    <row r="250" spans="1:28" x14ac:dyDescent="0.25">
      <c r="A250" s="175" t="s">
        <v>292</v>
      </c>
      <c r="B250" s="150" t="s">
        <v>293</v>
      </c>
      <c r="C250" s="150" t="s">
        <v>1</v>
      </c>
      <c r="D250" s="150" t="s">
        <v>2</v>
      </c>
      <c r="E250" s="150" t="s">
        <v>310</v>
      </c>
      <c r="F250" s="150"/>
      <c r="G250" s="150"/>
      <c r="H250" s="150"/>
      <c r="I250" s="30"/>
      <c r="J250" s="30"/>
      <c r="K250" s="30"/>
      <c r="L250" s="30"/>
      <c r="M250" s="30"/>
      <c r="N250" s="42"/>
    </row>
    <row r="251" spans="1:28" x14ac:dyDescent="0.25">
      <c r="A251" s="175"/>
      <c r="B251" s="150"/>
      <c r="C251" s="150"/>
      <c r="D251" s="150"/>
      <c r="E251" s="30" t="s">
        <v>292</v>
      </c>
      <c r="F251" s="30" t="s">
        <v>293</v>
      </c>
      <c r="G251" s="30" t="s">
        <v>1</v>
      </c>
      <c r="H251" s="30" t="s">
        <v>2</v>
      </c>
      <c r="I251" s="30"/>
      <c r="J251" s="30"/>
      <c r="K251" s="30"/>
      <c r="L251" s="30"/>
      <c r="M251" s="30"/>
      <c r="N251" s="42"/>
    </row>
    <row r="252" spans="1:28" x14ac:dyDescent="0.25">
      <c r="A252" s="90" t="s">
        <v>529</v>
      </c>
      <c r="B252" s="80" t="s">
        <v>220</v>
      </c>
      <c r="C252" s="91">
        <v>-23.2</v>
      </c>
      <c r="D252" s="91">
        <v>-46.03</v>
      </c>
      <c r="E252" s="85"/>
      <c r="F252" s="85"/>
      <c r="G252" s="85"/>
      <c r="H252" s="85"/>
      <c r="I252" s="81"/>
      <c r="J252" s="81"/>
      <c r="K252" s="81"/>
      <c r="L252" s="81"/>
      <c r="M252" s="81"/>
      <c r="N252" s="111"/>
    </row>
    <row r="253" spans="1:28" x14ac:dyDescent="0.25">
      <c r="A253" s="194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6"/>
    </row>
    <row r="254" spans="1:28" ht="18.75" x14ac:dyDescent="0.25">
      <c r="A254" s="173" t="s">
        <v>311</v>
      </c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74"/>
    </row>
    <row r="255" spans="1:28" x14ac:dyDescent="0.25">
      <c r="A255" s="175" t="s">
        <v>292</v>
      </c>
      <c r="B255" s="150" t="s">
        <v>293</v>
      </c>
      <c r="C255" s="151" t="s">
        <v>312</v>
      </c>
      <c r="D255" s="152"/>
      <c r="E255" s="152"/>
      <c r="F255" s="153"/>
      <c r="G255" s="151" t="s">
        <v>313</v>
      </c>
      <c r="H255" s="152"/>
      <c r="I255" s="152"/>
      <c r="J255" s="153"/>
      <c r="K255" s="30"/>
      <c r="L255" s="30"/>
      <c r="M255" s="30"/>
      <c r="N255" s="42"/>
    </row>
    <row r="256" spans="1:28" x14ac:dyDescent="0.25">
      <c r="A256" s="175"/>
      <c r="B256" s="150"/>
      <c r="C256" s="154"/>
      <c r="D256" s="155"/>
      <c r="E256" s="155"/>
      <c r="F256" s="156"/>
      <c r="G256" s="154"/>
      <c r="H256" s="155"/>
      <c r="I256" s="155"/>
      <c r="J256" s="156"/>
      <c r="K256" s="30"/>
      <c r="L256" s="30"/>
      <c r="M256" s="30"/>
      <c r="N256" s="42"/>
    </row>
    <row r="257" spans="1:14" ht="15.75" thickBot="1" x14ac:dyDescent="0.3">
      <c r="A257" s="49"/>
      <c r="B257" s="50"/>
      <c r="C257" s="177"/>
      <c r="D257" s="177"/>
      <c r="E257" s="177"/>
      <c r="F257" s="177"/>
      <c r="G257" s="177"/>
      <c r="H257" s="177"/>
      <c r="I257" s="177"/>
      <c r="J257" s="177"/>
      <c r="K257" s="51"/>
      <c r="L257" s="51"/>
      <c r="M257" s="51"/>
      <c r="N257" s="52"/>
    </row>
    <row r="258" spans="1:14" ht="16.5" thickTop="1" thickBot="1" x14ac:dyDescent="0.3"/>
    <row r="259" spans="1:14" ht="19.5" thickTop="1" x14ac:dyDescent="0.25">
      <c r="A259" s="178" t="s">
        <v>530</v>
      </c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80"/>
    </row>
    <row r="260" spans="1:14" x14ac:dyDescent="0.25">
      <c r="A260" s="171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72"/>
    </row>
    <row r="261" spans="1:14" ht="18.75" x14ac:dyDescent="0.25">
      <c r="A261" s="173" t="s">
        <v>291</v>
      </c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74"/>
    </row>
    <row r="262" spans="1:14" x14ac:dyDescent="0.25">
      <c r="A262" s="175" t="s">
        <v>292</v>
      </c>
      <c r="B262" s="150" t="s">
        <v>293</v>
      </c>
      <c r="C262" s="157" t="s">
        <v>294</v>
      </c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76"/>
    </row>
    <row r="263" spans="1:14" x14ac:dyDescent="0.25">
      <c r="A263" s="175"/>
      <c r="B263" s="150"/>
      <c r="C263" s="30" t="s">
        <v>295</v>
      </c>
      <c r="D263" s="30" t="s">
        <v>296</v>
      </c>
      <c r="E263" s="30" t="s">
        <v>297</v>
      </c>
      <c r="F263" s="30" t="s">
        <v>298</v>
      </c>
      <c r="G263" s="30" t="s">
        <v>299</v>
      </c>
      <c r="H263" s="30" t="s">
        <v>300</v>
      </c>
      <c r="I263" s="30" t="s">
        <v>301</v>
      </c>
      <c r="J263" s="30" t="s">
        <v>302</v>
      </c>
      <c r="K263" s="30" t="s">
        <v>303</v>
      </c>
      <c r="L263" s="30" t="s">
        <v>304</v>
      </c>
      <c r="M263" s="30" t="s">
        <v>305</v>
      </c>
      <c r="N263" s="42" t="s">
        <v>306</v>
      </c>
    </row>
    <row r="264" spans="1:14" x14ac:dyDescent="0.25">
      <c r="A264" s="87">
        <v>123</v>
      </c>
      <c r="B264" s="80" t="s">
        <v>16</v>
      </c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2"/>
    </row>
    <row r="265" spans="1:14" x14ac:dyDescent="0.25">
      <c r="A265" s="171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72"/>
    </row>
    <row r="266" spans="1:14" x14ac:dyDescent="0.25">
      <c r="A266" s="175" t="s">
        <v>292</v>
      </c>
      <c r="B266" s="150" t="s">
        <v>293</v>
      </c>
      <c r="C266" s="157" t="s">
        <v>308</v>
      </c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76"/>
    </row>
    <row r="267" spans="1:14" x14ac:dyDescent="0.25">
      <c r="A267" s="175"/>
      <c r="B267" s="150"/>
      <c r="C267" s="30" t="s">
        <v>295</v>
      </c>
      <c r="D267" s="30" t="s">
        <v>296</v>
      </c>
      <c r="E267" s="30" t="s">
        <v>297</v>
      </c>
      <c r="F267" s="30" t="s">
        <v>298</v>
      </c>
      <c r="G267" s="30" t="s">
        <v>299</v>
      </c>
      <c r="H267" s="30" t="s">
        <v>300</v>
      </c>
      <c r="I267" s="30" t="s">
        <v>301</v>
      </c>
      <c r="J267" s="30" t="s">
        <v>302</v>
      </c>
      <c r="K267" s="30" t="s">
        <v>303</v>
      </c>
      <c r="L267" s="30" t="s">
        <v>304</v>
      </c>
      <c r="M267" s="30" t="s">
        <v>305</v>
      </c>
      <c r="N267" s="42" t="s">
        <v>306</v>
      </c>
    </row>
    <row r="268" spans="1:14" x14ac:dyDescent="0.25">
      <c r="A268" s="87">
        <v>123</v>
      </c>
      <c r="B268" s="80" t="s">
        <v>16</v>
      </c>
      <c r="C268" s="91">
        <v>5</v>
      </c>
      <c r="D268" s="91">
        <v>5.1428571428571432</v>
      </c>
      <c r="E268" s="91">
        <v>4.4516129032258061</v>
      </c>
      <c r="F268" s="91">
        <v>3.4</v>
      </c>
      <c r="G268" s="91">
        <v>2.6451612903225805</v>
      </c>
      <c r="H268" s="91">
        <v>2.3333333333333335</v>
      </c>
      <c r="I268" s="91">
        <v>2.6451612903225805</v>
      </c>
      <c r="J268" s="91">
        <v>3.3548387096774195</v>
      </c>
      <c r="K268" s="91">
        <v>3.7333333333333334</v>
      </c>
      <c r="L268" s="91">
        <v>4.193548387096774</v>
      </c>
      <c r="M268" s="91">
        <v>4.6333333333333337</v>
      </c>
      <c r="N268" s="92">
        <v>4.806451612903226</v>
      </c>
    </row>
    <row r="269" spans="1:14" x14ac:dyDescent="0.25">
      <c r="A269" s="194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6"/>
    </row>
    <row r="270" spans="1:14" ht="18.75" x14ac:dyDescent="0.25">
      <c r="A270" s="173" t="s">
        <v>309</v>
      </c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74"/>
    </row>
    <row r="271" spans="1:14" x14ac:dyDescent="0.25">
      <c r="A271" s="175" t="s">
        <v>292</v>
      </c>
      <c r="B271" s="150" t="s">
        <v>293</v>
      </c>
      <c r="C271" s="150" t="s">
        <v>1</v>
      </c>
      <c r="D271" s="150" t="s">
        <v>2</v>
      </c>
      <c r="E271" s="150" t="s">
        <v>310</v>
      </c>
      <c r="F271" s="150"/>
      <c r="G271" s="150"/>
      <c r="H271" s="150"/>
      <c r="I271" s="30"/>
      <c r="J271" s="30"/>
      <c r="K271" s="30"/>
      <c r="L271" s="30"/>
      <c r="M271" s="30"/>
      <c r="N271" s="42"/>
    </row>
    <row r="272" spans="1:14" x14ac:dyDescent="0.25">
      <c r="A272" s="175"/>
      <c r="B272" s="150"/>
      <c r="C272" s="150"/>
      <c r="D272" s="150"/>
      <c r="E272" s="30" t="s">
        <v>292</v>
      </c>
      <c r="F272" s="30" t="s">
        <v>293</v>
      </c>
      <c r="G272" s="30" t="s">
        <v>1</v>
      </c>
      <c r="H272" s="30" t="s">
        <v>2</v>
      </c>
      <c r="I272" s="30"/>
      <c r="J272" s="30"/>
      <c r="K272" s="30"/>
      <c r="L272" s="30"/>
      <c r="M272" s="30"/>
      <c r="N272" s="42"/>
    </row>
    <row r="273" spans="1:14" x14ac:dyDescent="0.25">
      <c r="A273" s="90" t="s">
        <v>531</v>
      </c>
      <c r="B273" s="80" t="s">
        <v>16</v>
      </c>
      <c r="C273" s="91">
        <v>-22.53</v>
      </c>
      <c r="D273" s="91">
        <v>-44.57</v>
      </c>
      <c r="E273" s="85"/>
      <c r="F273" s="85"/>
      <c r="G273" s="85"/>
      <c r="H273" s="85"/>
      <c r="I273" s="81"/>
      <c r="J273" s="81"/>
      <c r="K273" s="81"/>
      <c r="L273" s="81"/>
      <c r="M273" s="81"/>
      <c r="N273" s="111"/>
    </row>
    <row r="274" spans="1:14" x14ac:dyDescent="0.25">
      <c r="A274" s="194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6"/>
    </row>
    <row r="275" spans="1:14" ht="18.75" x14ac:dyDescent="0.25">
      <c r="A275" s="173" t="s">
        <v>311</v>
      </c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74"/>
    </row>
    <row r="276" spans="1:14" x14ac:dyDescent="0.25">
      <c r="A276" s="175" t="s">
        <v>292</v>
      </c>
      <c r="B276" s="150" t="s">
        <v>293</v>
      </c>
      <c r="C276" s="151" t="s">
        <v>312</v>
      </c>
      <c r="D276" s="152"/>
      <c r="E276" s="152"/>
      <c r="F276" s="153"/>
      <c r="G276" s="151" t="s">
        <v>313</v>
      </c>
      <c r="H276" s="152"/>
      <c r="I276" s="152"/>
      <c r="J276" s="153"/>
      <c r="K276" s="30"/>
      <c r="L276" s="30"/>
      <c r="M276" s="30"/>
      <c r="N276" s="42"/>
    </row>
    <row r="277" spans="1:14" x14ac:dyDescent="0.25">
      <c r="A277" s="175"/>
      <c r="B277" s="150"/>
      <c r="C277" s="154"/>
      <c r="D277" s="155"/>
      <c r="E277" s="155"/>
      <c r="F277" s="156"/>
      <c r="G277" s="154"/>
      <c r="H277" s="155"/>
      <c r="I277" s="155"/>
      <c r="J277" s="156"/>
      <c r="K277" s="30"/>
      <c r="L277" s="30"/>
      <c r="M277" s="30"/>
      <c r="N277" s="42"/>
    </row>
    <row r="278" spans="1:14" ht="15.75" thickBot="1" x14ac:dyDescent="0.3">
      <c r="A278" s="49"/>
      <c r="B278" s="50"/>
      <c r="C278" s="177"/>
      <c r="D278" s="177"/>
      <c r="E278" s="177"/>
      <c r="F278" s="177"/>
      <c r="G278" s="177"/>
      <c r="H278" s="177"/>
      <c r="I278" s="177"/>
      <c r="J278" s="177"/>
      <c r="K278" s="51"/>
      <c r="L278" s="51"/>
      <c r="M278" s="51"/>
      <c r="N278" s="52"/>
    </row>
    <row r="279" spans="1:14" ht="16.5" thickTop="1" thickBot="1" x14ac:dyDescent="0.3"/>
    <row r="280" spans="1:14" ht="19.5" thickTop="1" x14ac:dyDescent="0.25">
      <c r="A280" s="178" t="s">
        <v>532</v>
      </c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80"/>
    </row>
    <row r="281" spans="1:14" x14ac:dyDescent="0.25">
      <c r="A281" s="171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72"/>
    </row>
    <row r="282" spans="1:14" ht="18.75" x14ac:dyDescent="0.25">
      <c r="A282" s="173" t="s">
        <v>291</v>
      </c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74"/>
    </row>
    <row r="283" spans="1:14" x14ac:dyDescent="0.25">
      <c r="A283" s="175" t="s">
        <v>292</v>
      </c>
      <c r="B283" s="150" t="s">
        <v>293</v>
      </c>
      <c r="C283" s="157" t="s">
        <v>294</v>
      </c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76"/>
    </row>
    <row r="284" spans="1:14" x14ac:dyDescent="0.25">
      <c r="A284" s="175"/>
      <c r="B284" s="150"/>
      <c r="C284" s="30" t="s">
        <v>295</v>
      </c>
      <c r="D284" s="30" t="s">
        <v>296</v>
      </c>
      <c r="E284" s="30" t="s">
        <v>297</v>
      </c>
      <c r="F284" s="30" t="s">
        <v>298</v>
      </c>
      <c r="G284" s="30" t="s">
        <v>299</v>
      </c>
      <c r="H284" s="30" t="s">
        <v>300</v>
      </c>
      <c r="I284" s="30" t="s">
        <v>301</v>
      </c>
      <c r="J284" s="30" t="s">
        <v>302</v>
      </c>
      <c r="K284" s="30" t="s">
        <v>303</v>
      </c>
      <c r="L284" s="30" t="s">
        <v>304</v>
      </c>
      <c r="M284" s="30" t="s">
        <v>305</v>
      </c>
      <c r="N284" s="42" t="s">
        <v>306</v>
      </c>
    </row>
    <row r="285" spans="1:14" x14ac:dyDescent="0.25">
      <c r="A285" s="87">
        <v>125</v>
      </c>
      <c r="B285" s="80" t="s">
        <v>533</v>
      </c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2"/>
    </row>
    <row r="286" spans="1:14" x14ac:dyDescent="0.25">
      <c r="A286" s="171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72"/>
    </row>
    <row r="287" spans="1:14" x14ac:dyDescent="0.25">
      <c r="A287" s="175" t="s">
        <v>292</v>
      </c>
      <c r="B287" s="150" t="s">
        <v>293</v>
      </c>
      <c r="C287" s="157" t="s">
        <v>308</v>
      </c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76"/>
    </row>
    <row r="288" spans="1:14" x14ac:dyDescent="0.25">
      <c r="A288" s="175"/>
      <c r="B288" s="150"/>
      <c r="C288" s="30" t="s">
        <v>295</v>
      </c>
      <c r="D288" s="30" t="s">
        <v>296</v>
      </c>
      <c r="E288" s="30" t="s">
        <v>297</v>
      </c>
      <c r="F288" s="30" t="s">
        <v>298</v>
      </c>
      <c r="G288" s="30" t="s">
        <v>299</v>
      </c>
      <c r="H288" s="30" t="s">
        <v>300</v>
      </c>
      <c r="I288" s="30" t="s">
        <v>301</v>
      </c>
      <c r="J288" s="30" t="s">
        <v>302</v>
      </c>
      <c r="K288" s="30" t="s">
        <v>303</v>
      </c>
      <c r="L288" s="30" t="s">
        <v>304</v>
      </c>
      <c r="M288" s="30" t="s">
        <v>305</v>
      </c>
      <c r="N288" s="42" t="s">
        <v>306</v>
      </c>
    </row>
    <row r="289" spans="1:14" x14ac:dyDescent="0.25">
      <c r="A289" s="87">
        <v>125</v>
      </c>
      <c r="B289" s="80" t="s">
        <v>533</v>
      </c>
      <c r="C289" s="91">
        <v>4.967741935483871</v>
      </c>
      <c r="D289" s="91">
        <v>5.1071428571428568</v>
      </c>
      <c r="E289" s="91">
        <v>4.354838709677419</v>
      </c>
      <c r="F289" s="91">
        <v>3.3</v>
      </c>
      <c r="G289" s="91">
        <v>2.5483870967741935</v>
      </c>
      <c r="H289" s="91">
        <v>2.1</v>
      </c>
      <c r="I289" s="91">
        <v>2.3225806451612905</v>
      </c>
      <c r="J289" s="91">
        <v>2.903225806451613</v>
      </c>
      <c r="K289" s="91">
        <v>3.5666666666666669</v>
      </c>
      <c r="L289" s="91">
        <v>4.129032258064516</v>
      </c>
      <c r="M289" s="91">
        <v>4.6333333333333337</v>
      </c>
      <c r="N289" s="92">
        <v>4.741935483870968</v>
      </c>
    </row>
    <row r="290" spans="1:14" x14ac:dyDescent="0.25">
      <c r="A290" s="194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6"/>
    </row>
    <row r="291" spans="1:14" ht="18.75" x14ac:dyDescent="0.25">
      <c r="A291" s="173" t="s">
        <v>309</v>
      </c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74"/>
    </row>
    <row r="292" spans="1:14" x14ac:dyDescent="0.25">
      <c r="A292" s="175" t="s">
        <v>292</v>
      </c>
      <c r="B292" s="150" t="s">
        <v>293</v>
      </c>
      <c r="C292" s="150" t="s">
        <v>1</v>
      </c>
      <c r="D292" s="150" t="s">
        <v>2</v>
      </c>
      <c r="E292" s="150" t="s">
        <v>310</v>
      </c>
      <c r="F292" s="150"/>
      <c r="G292" s="150"/>
      <c r="H292" s="150"/>
      <c r="I292" s="30"/>
      <c r="J292" s="30"/>
      <c r="K292" s="30"/>
      <c r="L292" s="30"/>
      <c r="M292" s="30"/>
      <c r="N292" s="42"/>
    </row>
    <row r="293" spans="1:14" x14ac:dyDescent="0.25">
      <c r="A293" s="175"/>
      <c r="B293" s="150"/>
      <c r="C293" s="150"/>
      <c r="D293" s="150"/>
      <c r="E293" s="30" t="s">
        <v>292</v>
      </c>
      <c r="F293" s="30" t="s">
        <v>293</v>
      </c>
      <c r="G293" s="30" t="s">
        <v>1</v>
      </c>
      <c r="H293" s="30" t="s">
        <v>2</v>
      </c>
      <c r="I293" s="30"/>
      <c r="J293" s="30"/>
      <c r="K293" s="30"/>
      <c r="L293" s="30"/>
      <c r="M293" s="30"/>
      <c r="N293" s="42"/>
    </row>
    <row r="294" spans="1:14" x14ac:dyDescent="0.25">
      <c r="A294" s="90" t="s">
        <v>534</v>
      </c>
      <c r="B294" s="80" t="s">
        <v>533</v>
      </c>
      <c r="C294" s="91">
        <v>-22.48</v>
      </c>
      <c r="D294" s="91">
        <v>-43.84</v>
      </c>
      <c r="E294" s="85"/>
      <c r="F294" s="85"/>
      <c r="G294" s="85"/>
      <c r="H294" s="85"/>
      <c r="I294" s="81"/>
      <c r="J294" s="81"/>
      <c r="K294" s="81"/>
      <c r="L294" s="81"/>
      <c r="M294" s="81"/>
      <c r="N294" s="111"/>
    </row>
    <row r="295" spans="1:14" x14ac:dyDescent="0.25">
      <c r="A295" s="194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6"/>
    </row>
    <row r="296" spans="1:14" ht="18.75" x14ac:dyDescent="0.25">
      <c r="A296" s="173" t="s">
        <v>311</v>
      </c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74"/>
    </row>
    <row r="297" spans="1:14" x14ac:dyDescent="0.25">
      <c r="A297" s="175" t="s">
        <v>292</v>
      </c>
      <c r="B297" s="150" t="s">
        <v>293</v>
      </c>
      <c r="C297" s="151" t="s">
        <v>312</v>
      </c>
      <c r="D297" s="152"/>
      <c r="E297" s="152"/>
      <c r="F297" s="153"/>
      <c r="G297" s="151" t="s">
        <v>313</v>
      </c>
      <c r="H297" s="152"/>
      <c r="I297" s="152"/>
      <c r="J297" s="153"/>
      <c r="K297" s="30"/>
      <c r="L297" s="30"/>
      <c r="M297" s="30"/>
      <c r="N297" s="42"/>
    </row>
    <row r="298" spans="1:14" x14ac:dyDescent="0.25">
      <c r="A298" s="175"/>
      <c r="B298" s="150"/>
      <c r="C298" s="154"/>
      <c r="D298" s="155"/>
      <c r="E298" s="155"/>
      <c r="F298" s="156"/>
      <c r="G298" s="154"/>
      <c r="H298" s="155"/>
      <c r="I298" s="155"/>
      <c r="J298" s="156"/>
      <c r="K298" s="30"/>
      <c r="L298" s="30"/>
      <c r="M298" s="30"/>
      <c r="N298" s="42"/>
    </row>
    <row r="299" spans="1:14" ht="15.75" thickBot="1" x14ac:dyDescent="0.3">
      <c r="A299" s="49"/>
      <c r="B299" s="50"/>
      <c r="C299" s="177"/>
      <c r="D299" s="177"/>
      <c r="E299" s="177"/>
      <c r="F299" s="177"/>
      <c r="G299" s="177"/>
      <c r="H299" s="177"/>
      <c r="I299" s="177"/>
      <c r="J299" s="177"/>
      <c r="K299" s="51"/>
      <c r="L299" s="51"/>
      <c r="M299" s="51"/>
      <c r="N299" s="52"/>
    </row>
    <row r="300" spans="1:14" ht="16.5" thickTop="1" thickBot="1" x14ac:dyDescent="0.3"/>
    <row r="301" spans="1:14" ht="19.5" thickTop="1" x14ac:dyDescent="0.25">
      <c r="A301" s="178" t="s">
        <v>535</v>
      </c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80"/>
    </row>
    <row r="302" spans="1:14" x14ac:dyDescent="0.25">
      <c r="A302" s="171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72"/>
    </row>
    <row r="303" spans="1:14" ht="18.75" x14ac:dyDescent="0.25">
      <c r="A303" s="173" t="s">
        <v>291</v>
      </c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74"/>
    </row>
    <row r="304" spans="1:14" x14ac:dyDescent="0.25">
      <c r="A304" s="175" t="s">
        <v>292</v>
      </c>
      <c r="B304" s="150" t="s">
        <v>293</v>
      </c>
      <c r="C304" s="157" t="s">
        <v>294</v>
      </c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76"/>
    </row>
    <row r="305" spans="1:28" x14ac:dyDescent="0.25">
      <c r="A305" s="175"/>
      <c r="B305" s="150"/>
      <c r="C305" s="30" t="s">
        <v>295</v>
      </c>
      <c r="D305" s="30" t="s">
        <v>296</v>
      </c>
      <c r="E305" s="30" t="s">
        <v>297</v>
      </c>
      <c r="F305" s="30" t="s">
        <v>298</v>
      </c>
      <c r="G305" s="30" t="s">
        <v>299</v>
      </c>
      <c r="H305" s="30" t="s">
        <v>300</v>
      </c>
      <c r="I305" s="30" t="s">
        <v>301</v>
      </c>
      <c r="J305" s="30" t="s">
        <v>302</v>
      </c>
      <c r="K305" s="30" t="s">
        <v>303</v>
      </c>
      <c r="L305" s="30" t="s">
        <v>304</v>
      </c>
      <c r="M305" s="30" t="s">
        <v>305</v>
      </c>
      <c r="N305" s="42" t="s">
        <v>306</v>
      </c>
    </row>
    <row r="306" spans="1:28" x14ac:dyDescent="0.25">
      <c r="A306" s="87">
        <v>197</v>
      </c>
      <c r="B306" s="80" t="s">
        <v>225</v>
      </c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2"/>
    </row>
    <row r="307" spans="1:28" x14ac:dyDescent="0.25">
      <c r="A307" s="171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72"/>
    </row>
    <row r="308" spans="1:28" x14ac:dyDescent="0.25">
      <c r="A308" s="175" t="s">
        <v>292</v>
      </c>
      <c r="B308" s="150" t="s">
        <v>293</v>
      </c>
      <c r="C308" s="157" t="s">
        <v>308</v>
      </c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76"/>
    </row>
    <row r="309" spans="1:28" x14ac:dyDescent="0.25">
      <c r="A309" s="175"/>
      <c r="B309" s="150"/>
      <c r="C309" s="30" t="s">
        <v>295</v>
      </c>
      <c r="D309" s="30" t="s">
        <v>296</v>
      </c>
      <c r="E309" s="30" t="s">
        <v>297</v>
      </c>
      <c r="F309" s="30" t="s">
        <v>298</v>
      </c>
      <c r="G309" s="30" t="s">
        <v>299</v>
      </c>
      <c r="H309" s="30" t="s">
        <v>300</v>
      </c>
      <c r="I309" s="30" t="s">
        <v>301</v>
      </c>
      <c r="J309" s="30" t="s">
        <v>302</v>
      </c>
      <c r="K309" s="30" t="s">
        <v>303</v>
      </c>
      <c r="L309" s="30" t="s">
        <v>304</v>
      </c>
      <c r="M309" s="30" t="s">
        <v>305</v>
      </c>
      <c r="N309" s="42" t="s">
        <v>306</v>
      </c>
    </row>
    <row r="310" spans="1:28" x14ac:dyDescent="0.25">
      <c r="A310" s="87">
        <v>197</v>
      </c>
      <c r="B310" s="80" t="s">
        <v>225</v>
      </c>
      <c r="C310" s="91">
        <v>4.967741935483871</v>
      </c>
      <c r="D310" s="91">
        <v>5.0357142857142856</v>
      </c>
      <c r="E310" s="91">
        <v>4.354838709677419</v>
      </c>
      <c r="F310" s="91">
        <v>3.4333333333333331</v>
      </c>
      <c r="G310" s="91">
        <v>2.6774193548387095</v>
      </c>
      <c r="H310" s="91">
        <v>2.2333333333333334</v>
      </c>
      <c r="I310" s="91">
        <v>2.5483870967741935</v>
      </c>
      <c r="J310" s="91">
        <v>3.3870967741935485</v>
      </c>
      <c r="K310" s="91">
        <v>3.7333333333333334</v>
      </c>
      <c r="L310" s="91">
        <v>4.129032258064516</v>
      </c>
      <c r="M310" s="91">
        <v>4.4000000000000004</v>
      </c>
      <c r="N310" s="92">
        <v>4.580645161290323</v>
      </c>
    </row>
    <row r="311" spans="1:28" x14ac:dyDescent="0.25">
      <c r="A311" s="194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6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</row>
    <row r="312" spans="1:28" ht="18.75" x14ac:dyDescent="0.25">
      <c r="A312" s="173" t="s">
        <v>309</v>
      </c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74"/>
    </row>
    <row r="313" spans="1:28" x14ac:dyDescent="0.25">
      <c r="A313" s="175" t="s">
        <v>292</v>
      </c>
      <c r="B313" s="150" t="s">
        <v>293</v>
      </c>
      <c r="C313" s="150" t="s">
        <v>1</v>
      </c>
      <c r="D313" s="150" t="s">
        <v>2</v>
      </c>
      <c r="E313" s="150" t="s">
        <v>310</v>
      </c>
      <c r="F313" s="150"/>
      <c r="G313" s="150"/>
      <c r="H313" s="150"/>
      <c r="I313" s="30"/>
      <c r="J313" s="30"/>
      <c r="K313" s="30"/>
      <c r="L313" s="30"/>
      <c r="M313" s="30"/>
      <c r="N313" s="42"/>
    </row>
    <row r="314" spans="1:28" x14ac:dyDescent="0.25">
      <c r="A314" s="175"/>
      <c r="B314" s="150"/>
      <c r="C314" s="150"/>
      <c r="D314" s="150"/>
      <c r="E314" s="30" t="s">
        <v>292</v>
      </c>
      <c r="F314" s="30" t="s">
        <v>293</v>
      </c>
      <c r="G314" s="30" t="s">
        <v>1</v>
      </c>
      <c r="H314" s="30" t="s">
        <v>2</v>
      </c>
      <c r="I314" s="30"/>
      <c r="J314" s="30"/>
      <c r="K314" s="30"/>
      <c r="L314" s="30"/>
      <c r="M314" s="30"/>
      <c r="N314" s="42"/>
    </row>
    <row r="315" spans="1:28" x14ac:dyDescent="0.25">
      <c r="A315" s="90" t="s">
        <v>536</v>
      </c>
      <c r="B315" s="80" t="s">
        <v>225</v>
      </c>
      <c r="C315" s="91">
        <v>-21.91</v>
      </c>
      <c r="D315" s="91">
        <v>-43.54</v>
      </c>
      <c r="E315" s="85"/>
      <c r="F315" s="85"/>
      <c r="G315" s="85"/>
      <c r="H315" s="85"/>
      <c r="I315" s="81"/>
      <c r="J315" s="81"/>
      <c r="K315" s="81"/>
      <c r="L315" s="81"/>
      <c r="M315" s="81"/>
      <c r="N315" s="111"/>
    </row>
    <row r="316" spans="1:28" x14ac:dyDescent="0.25">
      <c r="A316" s="194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6"/>
    </row>
    <row r="317" spans="1:28" ht="18.75" x14ac:dyDescent="0.25">
      <c r="A317" s="173" t="s">
        <v>311</v>
      </c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74"/>
    </row>
    <row r="318" spans="1:28" x14ac:dyDescent="0.25">
      <c r="A318" s="175" t="s">
        <v>292</v>
      </c>
      <c r="B318" s="150" t="s">
        <v>293</v>
      </c>
      <c r="C318" s="151" t="s">
        <v>312</v>
      </c>
      <c r="D318" s="152"/>
      <c r="E318" s="152"/>
      <c r="F318" s="153"/>
      <c r="G318" s="151" t="s">
        <v>313</v>
      </c>
      <c r="H318" s="152"/>
      <c r="I318" s="152"/>
      <c r="J318" s="153"/>
      <c r="K318" s="30"/>
      <c r="L318" s="30"/>
      <c r="M318" s="30"/>
      <c r="N318" s="42"/>
    </row>
    <row r="319" spans="1:28" x14ac:dyDescent="0.25">
      <c r="A319" s="175"/>
      <c r="B319" s="150"/>
      <c r="C319" s="154"/>
      <c r="D319" s="155"/>
      <c r="E319" s="155"/>
      <c r="F319" s="156"/>
      <c r="G319" s="154"/>
      <c r="H319" s="155"/>
      <c r="I319" s="155"/>
      <c r="J319" s="156"/>
      <c r="K319" s="30"/>
      <c r="L319" s="30"/>
      <c r="M319" s="30"/>
      <c r="N319" s="42"/>
    </row>
    <row r="320" spans="1:28" ht="15.75" thickBot="1" x14ac:dyDescent="0.3">
      <c r="A320" s="49"/>
      <c r="B320" s="50"/>
      <c r="C320" s="177"/>
      <c r="D320" s="177"/>
      <c r="E320" s="177"/>
      <c r="F320" s="177"/>
      <c r="G320" s="177"/>
      <c r="H320" s="177"/>
      <c r="I320" s="177"/>
      <c r="J320" s="177"/>
      <c r="K320" s="51"/>
      <c r="L320" s="51"/>
      <c r="M320" s="51"/>
      <c r="N320" s="52"/>
    </row>
    <row r="321" spans="1:14" ht="16.5" thickTop="1" thickBot="1" x14ac:dyDescent="0.3"/>
    <row r="322" spans="1:14" ht="19.5" thickTop="1" x14ac:dyDescent="0.25">
      <c r="A322" s="178" t="s">
        <v>537</v>
      </c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80"/>
    </row>
    <row r="323" spans="1:14" x14ac:dyDescent="0.25">
      <c r="A323" s="171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72"/>
    </row>
    <row r="324" spans="1:14" ht="18.75" x14ac:dyDescent="0.25">
      <c r="A324" s="173" t="s">
        <v>291</v>
      </c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74"/>
    </row>
    <row r="325" spans="1:14" x14ac:dyDescent="0.25">
      <c r="A325" s="175" t="s">
        <v>292</v>
      </c>
      <c r="B325" s="150" t="s">
        <v>293</v>
      </c>
      <c r="C325" s="157" t="s">
        <v>294</v>
      </c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76"/>
    </row>
    <row r="326" spans="1:14" x14ac:dyDescent="0.25">
      <c r="A326" s="175"/>
      <c r="B326" s="150"/>
      <c r="C326" s="30" t="s">
        <v>295</v>
      </c>
      <c r="D326" s="30" t="s">
        <v>296</v>
      </c>
      <c r="E326" s="30" t="s">
        <v>297</v>
      </c>
      <c r="F326" s="30" t="s">
        <v>298</v>
      </c>
      <c r="G326" s="30" t="s">
        <v>299</v>
      </c>
      <c r="H326" s="30" t="s">
        <v>300</v>
      </c>
      <c r="I326" s="30" t="s">
        <v>301</v>
      </c>
      <c r="J326" s="30" t="s">
        <v>302</v>
      </c>
      <c r="K326" s="30" t="s">
        <v>303</v>
      </c>
      <c r="L326" s="30" t="s">
        <v>304</v>
      </c>
      <c r="M326" s="30" t="s">
        <v>305</v>
      </c>
      <c r="N326" s="42" t="s">
        <v>306</v>
      </c>
    </row>
    <row r="327" spans="1:14" x14ac:dyDescent="0.25">
      <c r="A327" s="87">
        <v>198</v>
      </c>
      <c r="B327" s="80" t="s">
        <v>227</v>
      </c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2"/>
    </row>
    <row r="328" spans="1:14" x14ac:dyDescent="0.25">
      <c r="A328" s="171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72"/>
    </row>
    <row r="329" spans="1:14" x14ac:dyDescent="0.25">
      <c r="A329" s="175" t="s">
        <v>292</v>
      </c>
      <c r="B329" s="150" t="s">
        <v>293</v>
      </c>
      <c r="C329" s="157" t="s">
        <v>308</v>
      </c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76"/>
    </row>
    <row r="330" spans="1:14" x14ac:dyDescent="0.25">
      <c r="A330" s="175"/>
      <c r="B330" s="150"/>
      <c r="C330" s="30" t="s">
        <v>295</v>
      </c>
      <c r="D330" s="30" t="s">
        <v>296</v>
      </c>
      <c r="E330" s="30" t="s">
        <v>297</v>
      </c>
      <c r="F330" s="30" t="s">
        <v>298</v>
      </c>
      <c r="G330" s="30" t="s">
        <v>299</v>
      </c>
      <c r="H330" s="30" t="s">
        <v>300</v>
      </c>
      <c r="I330" s="30" t="s">
        <v>301</v>
      </c>
      <c r="J330" s="30" t="s">
        <v>302</v>
      </c>
      <c r="K330" s="30" t="s">
        <v>303</v>
      </c>
      <c r="L330" s="30" t="s">
        <v>304</v>
      </c>
      <c r="M330" s="30" t="s">
        <v>305</v>
      </c>
      <c r="N330" s="42" t="s">
        <v>306</v>
      </c>
    </row>
    <row r="331" spans="1:14" x14ac:dyDescent="0.25">
      <c r="A331" s="87">
        <v>198</v>
      </c>
      <c r="B331" s="80" t="s">
        <v>227</v>
      </c>
      <c r="C331" s="91">
        <v>5.161290322580645</v>
      </c>
      <c r="D331" s="91">
        <v>5.3928571428571432</v>
      </c>
      <c r="E331" s="91">
        <v>4.612903225806452</v>
      </c>
      <c r="F331" s="91">
        <v>3.5666666666666669</v>
      </c>
      <c r="G331" s="91">
        <v>2.838709677419355</v>
      </c>
      <c r="H331" s="91">
        <v>2.4</v>
      </c>
      <c r="I331" s="91">
        <v>2.6774193548387095</v>
      </c>
      <c r="J331" s="91">
        <v>3.4193548387096775</v>
      </c>
      <c r="K331" s="91">
        <v>3.7666666666666666</v>
      </c>
      <c r="L331" s="91">
        <v>4.193548387096774</v>
      </c>
      <c r="M331" s="91">
        <v>4.666666666666667</v>
      </c>
      <c r="N331" s="92">
        <v>4.870967741935484</v>
      </c>
    </row>
    <row r="332" spans="1:14" x14ac:dyDescent="0.25">
      <c r="A332" s="194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6"/>
    </row>
    <row r="333" spans="1:14" ht="18.75" x14ac:dyDescent="0.25">
      <c r="A333" s="173" t="s">
        <v>309</v>
      </c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74"/>
    </row>
    <row r="334" spans="1:14" x14ac:dyDescent="0.25">
      <c r="A334" s="175" t="s">
        <v>292</v>
      </c>
      <c r="B334" s="150" t="s">
        <v>293</v>
      </c>
      <c r="C334" s="150" t="s">
        <v>1</v>
      </c>
      <c r="D334" s="150" t="s">
        <v>2</v>
      </c>
      <c r="E334" s="150" t="s">
        <v>310</v>
      </c>
      <c r="F334" s="150"/>
      <c r="G334" s="150"/>
      <c r="H334" s="150"/>
      <c r="I334" s="30"/>
      <c r="J334" s="30"/>
      <c r="K334" s="30"/>
      <c r="L334" s="30"/>
      <c r="M334" s="30"/>
      <c r="N334" s="42"/>
    </row>
    <row r="335" spans="1:14" x14ac:dyDescent="0.25">
      <c r="A335" s="175"/>
      <c r="B335" s="150"/>
      <c r="C335" s="150"/>
      <c r="D335" s="150"/>
      <c r="E335" s="30" t="s">
        <v>292</v>
      </c>
      <c r="F335" s="30" t="s">
        <v>293</v>
      </c>
      <c r="G335" s="30" t="s">
        <v>1</v>
      </c>
      <c r="H335" s="30" t="s">
        <v>2</v>
      </c>
      <c r="I335" s="30"/>
      <c r="J335" s="30"/>
      <c r="K335" s="30"/>
      <c r="L335" s="30"/>
      <c r="M335" s="30"/>
      <c r="N335" s="42"/>
    </row>
    <row r="336" spans="1:14" x14ac:dyDescent="0.25">
      <c r="A336" s="90" t="s">
        <v>538</v>
      </c>
      <c r="B336" s="80" t="s">
        <v>227</v>
      </c>
      <c r="C336" s="91">
        <v>-21.94</v>
      </c>
      <c r="D336" s="91">
        <v>-43.36</v>
      </c>
      <c r="E336" s="85"/>
      <c r="F336" s="85"/>
      <c r="G336" s="85"/>
      <c r="H336" s="85"/>
      <c r="I336" s="81"/>
      <c r="J336" s="81"/>
      <c r="K336" s="81"/>
      <c r="L336" s="81"/>
      <c r="M336" s="81"/>
      <c r="N336" s="111"/>
    </row>
    <row r="337" spans="1:14" x14ac:dyDescent="0.25">
      <c r="A337" s="194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6"/>
    </row>
    <row r="338" spans="1:14" ht="18.75" x14ac:dyDescent="0.25">
      <c r="A338" s="173" t="s">
        <v>311</v>
      </c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74"/>
    </row>
    <row r="339" spans="1:14" x14ac:dyDescent="0.25">
      <c r="A339" s="175" t="s">
        <v>292</v>
      </c>
      <c r="B339" s="150" t="s">
        <v>293</v>
      </c>
      <c r="C339" s="151" t="s">
        <v>312</v>
      </c>
      <c r="D339" s="152"/>
      <c r="E339" s="152"/>
      <c r="F339" s="153"/>
      <c r="G339" s="151" t="s">
        <v>313</v>
      </c>
      <c r="H339" s="152"/>
      <c r="I339" s="152"/>
      <c r="J339" s="153"/>
      <c r="K339" s="30"/>
      <c r="L339" s="30"/>
      <c r="M339" s="30"/>
      <c r="N339" s="42"/>
    </row>
    <row r="340" spans="1:14" x14ac:dyDescent="0.25">
      <c r="A340" s="175"/>
      <c r="B340" s="150"/>
      <c r="C340" s="154"/>
      <c r="D340" s="155"/>
      <c r="E340" s="155"/>
      <c r="F340" s="156"/>
      <c r="G340" s="154"/>
      <c r="H340" s="155"/>
      <c r="I340" s="155"/>
      <c r="J340" s="156"/>
      <c r="K340" s="30"/>
      <c r="L340" s="30"/>
      <c r="M340" s="30"/>
      <c r="N340" s="42"/>
    </row>
    <row r="341" spans="1:14" ht="15.75" thickBot="1" x14ac:dyDescent="0.3">
      <c r="A341" s="49"/>
      <c r="B341" s="50"/>
      <c r="C341" s="177"/>
      <c r="D341" s="177"/>
      <c r="E341" s="177"/>
      <c r="F341" s="177"/>
      <c r="G341" s="177"/>
      <c r="H341" s="177"/>
      <c r="I341" s="177"/>
      <c r="J341" s="177"/>
      <c r="K341" s="51"/>
      <c r="L341" s="51"/>
      <c r="M341" s="51"/>
      <c r="N341" s="52"/>
    </row>
    <row r="342" spans="1:14" ht="16.5" thickTop="1" thickBot="1" x14ac:dyDescent="0.3"/>
    <row r="343" spans="1:14" ht="19.5" thickTop="1" x14ac:dyDescent="0.25">
      <c r="A343" s="160" t="s">
        <v>539</v>
      </c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2"/>
    </row>
    <row r="344" spans="1:14" x14ac:dyDescent="0.25">
      <c r="A344" s="143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5"/>
    </row>
    <row r="345" spans="1:14" ht="18.75" x14ac:dyDescent="0.25">
      <c r="A345" s="146" t="s">
        <v>291</v>
      </c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8"/>
    </row>
    <row r="346" spans="1:14" x14ac:dyDescent="0.25">
      <c r="A346" s="149" t="s">
        <v>292</v>
      </c>
      <c r="B346" s="150" t="s">
        <v>293</v>
      </c>
      <c r="C346" s="157" t="s">
        <v>294</v>
      </c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9"/>
    </row>
    <row r="347" spans="1:14" x14ac:dyDescent="0.25">
      <c r="A347" s="149"/>
      <c r="B347" s="150"/>
      <c r="C347" s="30" t="s">
        <v>295</v>
      </c>
      <c r="D347" s="30" t="s">
        <v>296</v>
      </c>
      <c r="E347" s="30" t="s">
        <v>297</v>
      </c>
      <c r="F347" s="30" t="s">
        <v>298</v>
      </c>
      <c r="G347" s="30" t="s">
        <v>299</v>
      </c>
      <c r="H347" s="30" t="s">
        <v>300</v>
      </c>
      <c r="I347" s="30" t="s">
        <v>301</v>
      </c>
      <c r="J347" s="30" t="s">
        <v>302</v>
      </c>
      <c r="K347" s="30" t="s">
        <v>303</v>
      </c>
      <c r="L347" s="30" t="s">
        <v>304</v>
      </c>
      <c r="M347" s="30" t="s">
        <v>305</v>
      </c>
      <c r="N347" s="10" t="s">
        <v>306</v>
      </c>
    </row>
    <row r="348" spans="1:14" x14ac:dyDescent="0.25">
      <c r="A348" s="11">
        <v>129</v>
      </c>
      <c r="B348" s="5" t="s">
        <v>540</v>
      </c>
      <c r="C348" s="6">
        <v>0.71099999999999997</v>
      </c>
      <c r="D348" s="6">
        <v>0.71099999999999997</v>
      </c>
      <c r="E348" s="6">
        <v>0.71099999999999997</v>
      </c>
      <c r="F348" s="6">
        <v>0.71099999999999997</v>
      </c>
      <c r="G348" s="6">
        <v>0.71099999999999997</v>
      </c>
      <c r="H348" s="6">
        <v>0.71099999999999997</v>
      </c>
      <c r="I348" s="6">
        <v>0.71099999999999997</v>
      </c>
      <c r="J348" s="6">
        <v>0.71099999999999997</v>
      </c>
      <c r="K348" s="6">
        <v>0.71099999999999997</v>
      </c>
      <c r="L348" s="6">
        <v>0.71099999999999997</v>
      </c>
      <c r="M348" s="6">
        <v>0.71099999999999997</v>
      </c>
      <c r="N348" s="12">
        <v>0.71099999999999997</v>
      </c>
    </row>
    <row r="349" spans="1:14" x14ac:dyDescent="0.25">
      <c r="A349" s="13">
        <v>130</v>
      </c>
      <c r="B349" s="3" t="s">
        <v>229</v>
      </c>
      <c r="C349" s="7">
        <v>0.28899999999999998</v>
      </c>
      <c r="D349" s="7">
        <v>0.28899999999999998</v>
      </c>
      <c r="E349" s="7">
        <v>0.28899999999999998</v>
      </c>
      <c r="F349" s="7">
        <v>0.28899999999999998</v>
      </c>
      <c r="G349" s="7">
        <v>0.28899999999999998</v>
      </c>
      <c r="H349" s="7">
        <v>0.28899999999999998</v>
      </c>
      <c r="I349" s="7">
        <v>0.28899999999999998</v>
      </c>
      <c r="J349" s="7">
        <v>0.28899999999999998</v>
      </c>
      <c r="K349" s="7">
        <v>0.28899999999999998</v>
      </c>
      <c r="L349" s="7">
        <v>0.28899999999999998</v>
      </c>
      <c r="M349" s="7">
        <v>0.28899999999999998</v>
      </c>
      <c r="N349" s="14">
        <v>0.28899999999999998</v>
      </c>
    </row>
    <row r="350" spans="1:14" x14ac:dyDescent="0.25">
      <c r="A350" s="143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5"/>
    </row>
    <row r="351" spans="1:14" x14ac:dyDescent="0.25">
      <c r="A351" s="149" t="s">
        <v>292</v>
      </c>
      <c r="B351" s="150" t="s">
        <v>293</v>
      </c>
      <c r="C351" s="157" t="s">
        <v>308</v>
      </c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9"/>
    </row>
    <row r="352" spans="1:14" x14ac:dyDescent="0.25">
      <c r="A352" s="149"/>
      <c r="B352" s="150"/>
      <c r="C352" s="30" t="s">
        <v>295</v>
      </c>
      <c r="D352" s="30" t="s">
        <v>296</v>
      </c>
      <c r="E352" s="30" t="s">
        <v>297</v>
      </c>
      <c r="F352" s="30" t="s">
        <v>298</v>
      </c>
      <c r="G352" s="30" t="s">
        <v>299</v>
      </c>
      <c r="H352" s="30" t="s">
        <v>300</v>
      </c>
      <c r="I352" s="30" t="s">
        <v>301</v>
      </c>
      <c r="J352" s="30" t="s">
        <v>302</v>
      </c>
      <c r="K352" s="30" t="s">
        <v>303</v>
      </c>
      <c r="L352" s="30" t="s">
        <v>304</v>
      </c>
      <c r="M352" s="30" t="s">
        <v>305</v>
      </c>
      <c r="N352" s="10" t="s">
        <v>306</v>
      </c>
    </row>
    <row r="353" spans="1:16" x14ac:dyDescent="0.25">
      <c r="A353" s="11">
        <v>130</v>
      </c>
      <c r="B353" s="5" t="s">
        <v>229</v>
      </c>
      <c r="C353" s="29">
        <v>6.032258064516129</v>
      </c>
      <c r="D353" s="29">
        <v>6</v>
      </c>
      <c r="E353" s="29">
        <v>5.580645161290323</v>
      </c>
      <c r="F353" s="29">
        <v>4.333333333333333</v>
      </c>
      <c r="G353" s="29">
        <v>3.4193548387096775</v>
      </c>
      <c r="H353" s="29">
        <v>3.0333333333333332</v>
      </c>
      <c r="I353" s="29">
        <v>3.161290322580645</v>
      </c>
      <c r="J353" s="29">
        <v>3.967741935483871</v>
      </c>
      <c r="K353" s="29">
        <v>4.2666666666666666</v>
      </c>
      <c r="L353" s="29">
        <v>4.612903225806452</v>
      </c>
      <c r="M353" s="29">
        <v>5.0666666666666664</v>
      </c>
      <c r="N353" s="36">
        <v>5.5161290322580649</v>
      </c>
    </row>
    <row r="354" spans="1:16" x14ac:dyDescent="0.25">
      <c r="A354" s="165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7"/>
    </row>
    <row r="355" spans="1:16" ht="18.75" x14ac:dyDescent="0.25">
      <c r="A355" s="146" t="s">
        <v>309</v>
      </c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8"/>
    </row>
    <row r="356" spans="1:16" x14ac:dyDescent="0.25">
      <c r="A356" s="149" t="s">
        <v>292</v>
      </c>
      <c r="B356" s="150" t="s">
        <v>293</v>
      </c>
      <c r="C356" s="150" t="s">
        <v>1</v>
      </c>
      <c r="D356" s="150" t="s">
        <v>2</v>
      </c>
      <c r="E356" s="150" t="s">
        <v>310</v>
      </c>
      <c r="F356" s="150"/>
      <c r="G356" s="150"/>
      <c r="H356" s="150"/>
      <c r="I356" s="30"/>
      <c r="J356" s="30"/>
      <c r="K356" s="30"/>
      <c r="L356" s="30"/>
      <c r="M356" s="30"/>
      <c r="N356" s="10"/>
    </row>
    <row r="357" spans="1:16" x14ac:dyDescent="0.25">
      <c r="A357" s="149"/>
      <c r="B357" s="150"/>
      <c r="C357" s="150"/>
      <c r="D357" s="150"/>
      <c r="E357" s="30" t="s">
        <v>292</v>
      </c>
      <c r="F357" s="30" t="s">
        <v>293</v>
      </c>
      <c r="G357" s="30" t="s">
        <v>1</v>
      </c>
      <c r="H357" s="30" t="s">
        <v>2</v>
      </c>
      <c r="I357" s="30"/>
      <c r="J357" s="30"/>
      <c r="K357" s="30"/>
      <c r="L357" s="30"/>
      <c r="M357" s="30"/>
      <c r="N357" s="10"/>
    </row>
    <row r="358" spans="1:16" x14ac:dyDescent="0.25">
      <c r="A358" s="15" t="s">
        <v>541</v>
      </c>
      <c r="B358" s="5" t="s">
        <v>229</v>
      </c>
      <c r="C358" s="35">
        <v>-21.84</v>
      </c>
      <c r="D358" s="35">
        <v>-42.58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16"/>
    </row>
    <row r="359" spans="1:16" x14ac:dyDescent="0.25">
      <c r="A359" s="143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5"/>
    </row>
    <row r="360" spans="1:16" ht="18.75" x14ac:dyDescent="0.25">
      <c r="A360" s="146" t="s">
        <v>311</v>
      </c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8"/>
    </row>
    <row r="361" spans="1:16" x14ac:dyDescent="0.25">
      <c r="A361" s="149" t="s">
        <v>292</v>
      </c>
      <c r="B361" s="150" t="s">
        <v>293</v>
      </c>
      <c r="C361" s="151" t="s">
        <v>312</v>
      </c>
      <c r="D361" s="152"/>
      <c r="E361" s="152"/>
      <c r="F361" s="153"/>
      <c r="G361" s="151" t="s">
        <v>313</v>
      </c>
      <c r="H361" s="152"/>
      <c r="I361" s="152"/>
      <c r="J361" s="153"/>
      <c r="K361" s="30"/>
      <c r="L361" s="30"/>
      <c r="M361" s="30"/>
      <c r="N361" s="10"/>
    </row>
    <row r="362" spans="1:16" x14ac:dyDescent="0.25">
      <c r="A362" s="149"/>
      <c r="B362" s="150"/>
      <c r="C362" s="154"/>
      <c r="D362" s="155"/>
      <c r="E362" s="155"/>
      <c r="F362" s="156"/>
      <c r="G362" s="154"/>
      <c r="H362" s="155"/>
      <c r="I362" s="155"/>
      <c r="J362" s="156"/>
      <c r="K362" s="30"/>
      <c r="L362" s="30"/>
      <c r="M362" s="30"/>
      <c r="N362" s="10"/>
    </row>
    <row r="363" spans="1:16" ht="15.75" thickBot="1" x14ac:dyDescent="0.3">
      <c r="A363" s="17"/>
      <c r="B363" s="18"/>
      <c r="C363" s="142"/>
      <c r="D363" s="142"/>
      <c r="E363" s="142"/>
      <c r="F363" s="142"/>
      <c r="G363" s="142"/>
      <c r="H363" s="142"/>
      <c r="I363" s="142"/>
      <c r="J363" s="142"/>
      <c r="K363" s="19"/>
      <c r="L363" s="19"/>
      <c r="M363" s="19"/>
      <c r="N363" s="20"/>
    </row>
    <row r="364" spans="1:16" ht="16.5" thickTop="1" thickBot="1" x14ac:dyDescent="0.3"/>
    <row r="365" spans="1:16" ht="19.5" thickTop="1" x14ac:dyDescent="0.25">
      <c r="A365" s="160" t="s">
        <v>542</v>
      </c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2"/>
      <c r="P365" s="120"/>
    </row>
    <row r="366" spans="1:16" x14ac:dyDescent="0.25">
      <c r="A366" s="143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5"/>
      <c r="P366" s="120"/>
    </row>
    <row r="367" spans="1:16" ht="18.75" x14ac:dyDescent="0.25">
      <c r="A367" s="146" t="s">
        <v>291</v>
      </c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8"/>
    </row>
    <row r="368" spans="1:16" x14ac:dyDescent="0.25">
      <c r="A368" s="149" t="s">
        <v>292</v>
      </c>
      <c r="B368" s="150" t="s">
        <v>293</v>
      </c>
      <c r="C368" s="157" t="s">
        <v>294</v>
      </c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9"/>
    </row>
    <row r="369" spans="1:28" x14ac:dyDescent="0.25">
      <c r="A369" s="149"/>
      <c r="B369" s="150"/>
      <c r="C369" s="30" t="s">
        <v>295</v>
      </c>
      <c r="D369" s="30" t="s">
        <v>296</v>
      </c>
      <c r="E369" s="30" t="s">
        <v>297</v>
      </c>
      <c r="F369" s="30" t="s">
        <v>298</v>
      </c>
      <c r="G369" s="30" t="s">
        <v>299</v>
      </c>
      <c r="H369" s="30" t="s">
        <v>300</v>
      </c>
      <c r="I369" s="30" t="s">
        <v>301</v>
      </c>
      <c r="J369" s="30" t="s">
        <v>302</v>
      </c>
      <c r="K369" s="30" t="s">
        <v>303</v>
      </c>
      <c r="L369" s="30" t="s">
        <v>304</v>
      </c>
      <c r="M369" s="30" t="s">
        <v>305</v>
      </c>
      <c r="N369" s="10" t="s">
        <v>306</v>
      </c>
    </row>
    <row r="370" spans="1:28" x14ac:dyDescent="0.25">
      <c r="A370" s="11">
        <v>921</v>
      </c>
      <c r="B370" s="5" t="s">
        <v>231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12"/>
    </row>
    <row r="371" spans="1:28" x14ac:dyDescent="0.25">
      <c r="A371" s="143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5"/>
    </row>
    <row r="372" spans="1:28" x14ac:dyDescent="0.25">
      <c r="A372" s="149" t="s">
        <v>292</v>
      </c>
      <c r="B372" s="150" t="s">
        <v>293</v>
      </c>
      <c r="C372" s="157" t="s">
        <v>308</v>
      </c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9"/>
    </row>
    <row r="373" spans="1:28" x14ac:dyDescent="0.25">
      <c r="A373" s="149"/>
      <c r="B373" s="150"/>
      <c r="C373" s="30" t="s">
        <v>295</v>
      </c>
      <c r="D373" s="30" t="s">
        <v>296</v>
      </c>
      <c r="E373" s="30" t="s">
        <v>297</v>
      </c>
      <c r="F373" s="30" t="s">
        <v>298</v>
      </c>
      <c r="G373" s="30" t="s">
        <v>299</v>
      </c>
      <c r="H373" s="30" t="s">
        <v>300</v>
      </c>
      <c r="I373" s="30" t="s">
        <v>301</v>
      </c>
      <c r="J373" s="30" t="s">
        <v>302</v>
      </c>
      <c r="K373" s="30" t="s">
        <v>303</v>
      </c>
      <c r="L373" s="30" t="s">
        <v>304</v>
      </c>
      <c r="M373" s="30" t="s">
        <v>305</v>
      </c>
      <c r="N373" s="10" t="s">
        <v>306</v>
      </c>
    </row>
    <row r="374" spans="1:28" x14ac:dyDescent="0.25">
      <c r="A374" s="11">
        <v>921</v>
      </c>
      <c r="B374" s="5" t="s">
        <v>231</v>
      </c>
      <c r="C374" s="29">
        <v>5</v>
      </c>
      <c r="D374" s="29">
        <v>5.1428571428571432</v>
      </c>
      <c r="E374" s="29">
        <v>4.387096774193548</v>
      </c>
      <c r="F374" s="29">
        <v>3.2666666666666666</v>
      </c>
      <c r="G374" s="29">
        <v>2.5483870967741935</v>
      </c>
      <c r="H374" s="29">
        <v>2.2666666666666666</v>
      </c>
      <c r="I374" s="29">
        <v>2.5161290322580645</v>
      </c>
      <c r="J374" s="29">
        <v>3.2580645161290325</v>
      </c>
      <c r="K374" s="29">
        <v>3.6</v>
      </c>
      <c r="L374" s="29">
        <v>4.064516129032258</v>
      </c>
      <c r="M374" s="29">
        <v>4.5333333333333332</v>
      </c>
      <c r="N374" s="36">
        <v>4.806451612903226</v>
      </c>
    </row>
    <row r="375" spans="1:28" x14ac:dyDescent="0.25">
      <c r="A375" s="165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7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</row>
    <row r="376" spans="1:28" ht="18.75" x14ac:dyDescent="0.25">
      <c r="A376" s="146" t="s">
        <v>309</v>
      </c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8"/>
    </row>
    <row r="377" spans="1:28" x14ac:dyDescent="0.25">
      <c r="A377" s="149" t="s">
        <v>292</v>
      </c>
      <c r="B377" s="150" t="s">
        <v>293</v>
      </c>
      <c r="C377" s="150" t="s">
        <v>1</v>
      </c>
      <c r="D377" s="150" t="s">
        <v>2</v>
      </c>
      <c r="E377" s="150" t="s">
        <v>310</v>
      </c>
      <c r="F377" s="150"/>
      <c r="G377" s="150"/>
      <c r="H377" s="150"/>
      <c r="I377" s="30"/>
      <c r="J377" s="30"/>
      <c r="K377" s="30"/>
      <c r="L377" s="30"/>
      <c r="M377" s="30"/>
      <c r="N377" s="10"/>
    </row>
    <row r="378" spans="1:28" x14ac:dyDescent="0.25">
      <c r="A378" s="149"/>
      <c r="B378" s="150"/>
      <c r="C378" s="150"/>
      <c r="D378" s="150"/>
      <c r="E378" s="30" t="s">
        <v>292</v>
      </c>
      <c r="F378" s="30" t="s">
        <v>293</v>
      </c>
      <c r="G378" s="30" t="s">
        <v>1</v>
      </c>
      <c r="H378" s="30" t="s">
        <v>2</v>
      </c>
      <c r="I378" s="30"/>
      <c r="J378" s="30"/>
      <c r="K378" s="30"/>
      <c r="L378" s="30"/>
      <c r="M378" s="30"/>
      <c r="N378" s="10"/>
    </row>
    <row r="379" spans="1:28" x14ac:dyDescent="0.25">
      <c r="A379" s="15" t="s">
        <v>543</v>
      </c>
      <c r="B379" s="5" t="s">
        <v>231</v>
      </c>
      <c r="C379" s="35">
        <v>-22.69</v>
      </c>
      <c r="D379" s="35">
        <v>-43.83</v>
      </c>
      <c r="E379" s="35"/>
      <c r="F379" s="35"/>
      <c r="G379" s="35"/>
      <c r="H379" s="35"/>
      <c r="I379" s="35"/>
      <c r="J379" s="35"/>
      <c r="K379" s="35"/>
      <c r="L379" s="35"/>
      <c r="M379" s="35"/>
      <c r="N379" s="16"/>
    </row>
    <row r="380" spans="1:28" x14ac:dyDescent="0.25">
      <c r="A380" s="143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5"/>
    </row>
    <row r="381" spans="1:28" ht="18.75" x14ac:dyDescent="0.25">
      <c r="A381" s="146" t="s">
        <v>311</v>
      </c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8"/>
    </row>
    <row r="382" spans="1:28" x14ac:dyDescent="0.25">
      <c r="A382" s="149" t="s">
        <v>292</v>
      </c>
      <c r="B382" s="150" t="s">
        <v>293</v>
      </c>
      <c r="C382" s="151" t="s">
        <v>312</v>
      </c>
      <c r="D382" s="152"/>
      <c r="E382" s="152"/>
      <c r="F382" s="153"/>
      <c r="G382" s="151" t="s">
        <v>313</v>
      </c>
      <c r="H382" s="152"/>
      <c r="I382" s="152"/>
      <c r="J382" s="153"/>
      <c r="K382" s="30"/>
      <c r="L382" s="30"/>
      <c r="M382" s="30"/>
      <c r="N382" s="10"/>
    </row>
    <row r="383" spans="1:28" x14ac:dyDescent="0.25">
      <c r="A383" s="149"/>
      <c r="B383" s="150"/>
      <c r="C383" s="154"/>
      <c r="D383" s="155"/>
      <c r="E383" s="155"/>
      <c r="F383" s="156"/>
      <c r="G383" s="154"/>
      <c r="H383" s="155"/>
      <c r="I383" s="155"/>
      <c r="J383" s="156"/>
      <c r="K383" s="30"/>
      <c r="L383" s="30"/>
      <c r="M383" s="30"/>
      <c r="N383" s="10"/>
    </row>
    <row r="384" spans="1:28" ht="15.75" thickBot="1" x14ac:dyDescent="0.3">
      <c r="A384" s="17"/>
      <c r="B384" s="18"/>
      <c r="C384" s="142"/>
      <c r="D384" s="142"/>
      <c r="E384" s="142"/>
      <c r="F384" s="142"/>
      <c r="G384" s="142"/>
      <c r="H384" s="142"/>
      <c r="I384" s="142"/>
      <c r="J384" s="142"/>
      <c r="K384" s="19"/>
      <c r="L384" s="19"/>
      <c r="M384" s="19"/>
      <c r="N384" s="20"/>
    </row>
    <row r="385" spans="1:14" ht="16.5" thickTop="1" thickBot="1" x14ac:dyDescent="0.3"/>
    <row r="386" spans="1:14" ht="19.5" thickTop="1" x14ac:dyDescent="0.25">
      <c r="A386" s="160" t="s">
        <v>544</v>
      </c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2"/>
    </row>
    <row r="387" spans="1:14" x14ac:dyDescent="0.25">
      <c r="A387" s="143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5"/>
    </row>
    <row r="388" spans="1:14" ht="18.75" x14ac:dyDescent="0.25">
      <c r="A388" s="146" t="s">
        <v>291</v>
      </c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8"/>
    </row>
    <row r="389" spans="1:14" x14ac:dyDescent="0.25">
      <c r="A389" s="149" t="s">
        <v>292</v>
      </c>
      <c r="B389" s="150" t="s">
        <v>293</v>
      </c>
      <c r="C389" s="157" t="s">
        <v>294</v>
      </c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9"/>
    </row>
    <row r="390" spans="1:14" x14ac:dyDescent="0.25">
      <c r="A390" s="149"/>
      <c r="B390" s="150"/>
      <c r="C390" s="30" t="s">
        <v>295</v>
      </c>
      <c r="D390" s="30" t="s">
        <v>296</v>
      </c>
      <c r="E390" s="30" t="s">
        <v>297</v>
      </c>
      <c r="F390" s="30" t="s">
        <v>298</v>
      </c>
      <c r="G390" s="30" t="s">
        <v>299</v>
      </c>
      <c r="H390" s="30" t="s">
        <v>300</v>
      </c>
      <c r="I390" s="30" t="s">
        <v>301</v>
      </c>
      <c r="J390" s="30" t="s">
        <v>302</v>
      </c>
      <c r="K390" s="30" t="s">
        <v>303</v>
      </c>
      <c r="L390" s="30" t="s">
        <v>304</v>
      </c>
      <c r="M390" s="30" t="s">
        <v>305</v>
      </c>
      <c r="N390" s="10" t="s">
        <v>306</v>
      </c>
    </row>
    <row r="391" spans="1:14" x14ac:dyDescent="0.25">
      <c r="A391" s="11">
        <v>135</v>
      </c>
      <c r="B391" s="5" t="s">
        <v>235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12"/>
    </row>
    <row r="392" spans="1:14" x14ac:dyDescent="0.25">
      <c r="A392" s="143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5"/>
    </row>
    <row r="393" spans="1:14" x14ac:dyDescent="0.25">
      <c r="A393" s="149" t="s">
        <v>292</v>
      </c>
      <c r="B393" s="150" t="s">
        <v>293</v>
      </c>
      <c r="C393" s="157" t="s">
        <v>308</v>
      </c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9"/>
    </row>
    <row r="394" spans="1:14" x14ac:dyDescent="0.25">
      <c r="A394" s="149"/>
      <c r="B394" s="150"/>
      <c r="C394" s="30" t="s">
        <v>295</v>
      </c>
      <c r="D394" s="30" t="s">
        <v>296</v>
      </c>
      <c r="E394" s="30" t="s">
        <v>297</v>
      </c>
      <c r="F394" s="30" t="s">
        <v>298</v>
      </c>
      <c r="G394" s="30" t="s">
        <v>299</v>
      </c>
      <c r="H394" s="30" t="s">
        <v>300</v>
      </c>
      <c r="I394" s="30" t="s">
        <v>301</v>
      </c>
      <c r="J394" s="30" t="s">
        <v>302</v>
      </c>
      <c r="K394" s="30" t="s">
        <v>303</v>
      </c>
      <c r="L394" s="30" t="s">
        <v>304</v>
      </c>
      <c r="M394" s="30" t="s">
        <v>305</v>
      </c>
      <c r="N394" s="10" t="s">
        <v>306</v>
      </c>
    </row>
    <row r="395" spans="1:14" x14ac:dyDescent="0.25">
      <c r="A395" s="11">
        <v>135</v>
      </c>
      <c r="B395" s="5" t="s">
        <v>235</v>
      </c>
      <c r="C395" s="29">
        <v>6.71</v>
      </c>
      <c r="D395" s="29">
        <v>7.09</v>
      </c>
      <c r="E395" s="29">
        <v>6.07</v>
      </c>
      <c r="F395" s="29">
        <v>5.19</v>
      </c>
      <c r="G395" s="29">
        <v>4.21</v>
      </c>
      <c r="H395" s="29">
        <v>3.83</v>
      </c>
      <c r="I395" s="29">
        <v>3.98</v>
      </c>
      <c r="J395" s="29">
        <v>4.7699999999999996</v>
      </c>
      <c r="K395" s="29">
        <v>5.39</v>
      </c>
      <c r="L395" s="29">
        <v>5.85</v>
      </c>
      <c r="M395" s="29">
        <v>5.6</v>
      </c>
      <c r="N395" s="36">
        <v>6.05</v>
      </c>
    </row>
    <row r="396" spans="1:14" x14ac:dyDescent="0.25">
      <c r="A396" s="165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7"/>
    </row>
    <row r="397" spans="1:14" ht="18.75" x14ac:dyDescent="0.25">
      <c r="A397" s="146" t="s">
        <v>309</v>
      </c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8"/>
    </row>
    <row r="398" spans="1:14" x14ac:dyDescent="0.25">
      <c r="A398" s="149" t="s">
        <v>292</v>
      </c>
      <c r="B398" s="150" t="s">
        <v>293</v>
      </c>
      <c r="C398" s="150" t="s">
        <v>1</v>
      </c>
      <c r="D398" s="150" t="s">
        <v>2</v>
      </c>
      <c r="E398" s="150" t="s">
        <v>310</v>
      </c>
      <c r="F398" s="150"/>
      <c r="G398" s="150"/>
      <c r="H398" s="150"/>
      <c r="I398" s="30"/>
      <c r="J398" s="30"/>
      <c r="K398" s="30"/>
      <c r="L398" s="30"/>
      <c r="M398" s="30"/>
      <c r="N398" s="10"/>
    </row>
    <row r="399" spans="1:14" x14ac:dyDescent="0.25">
      <c r="A399" s="149"/>
      <c r="B399" s="150"/>
      <c r="C399" s="150"/>
      <c r="D399" s="150"/>
      <c r="E399" s="30" t="s">
        <v>292</v>
      </c>
      <c r="F399" s="30" t="s">
        <v>293</v>
      </c>
      <c r="G399" s="30" t="s">
        <v>1</v>
      </c>
      <c r="H399" s="30" t="s">
        <v>2</v>
      </c>
      <c r="I399" s="30"/>
      <c r="J399" s="30"/>
      <c r="K399" s="30"/>
      <c r="L399" s="30"/>
      <c r="M399" s="30"/>
      <c r="N399" s="10"/>
    </row>
    <row r="400" spans="1:14" x14ac:dyDescent="0.25">
      <c r="A400" s="15" t="s">
        <v>234</v>
      </c>
      <c r="B400" s="5" t="s">
        <v>235</v>
      </c>
      <c r="C400" s="35">
        <v>-21.45</v>
      </c>
      <c r="D400" s="35">
        <v>-42.41</v>
      </c>
      <c r="E400" s="35"/>
      <c r="F400" s="35"/>
      <c r="G400" s="35"/>
      <c r="H400" s="35"/>
      <c r="I400" s="35"/>
      <c r="J400" s="35"/>
      <c r="K400" s="35"/>
      <c r="L400" s="35"/>
      <c r="M400" s="35"/>
      <c r="N400" s="16"/>
    </row>
    <row r="401" spans="1:14" x14ac:dyDescent="0.25">
      <c r="A401" s="143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5"/>
    </row>
    <row r="402" spans="1:14" ht="18.75" x14ac:dyDescent="0.25">
      <c r="A402" s="146" t="s">
        <v>311</v>
      </c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8"/>
    </row>
    <row r="403" spans="1:14" x14ac:dyDescent="0.25">
      <c r="A403" s="149" t="s">
        <v>292</v>
      </c>
      <c r="B403" s="150" t="s">
        <v>293</v>
      </c>
      <c r="C403" s="151" t="s">
        <v>312</v>
      </c>
      <c r="D403" s="152"/>
      <c r="E403" s="152"/>
      <c r="F403" s="153"/>
      <c r="G403" s="151" t="s">
        <v>313</v>
      </c>
      <c r="H403" s="152"/>
      <c r="I403" s="152"/>
      <c r="J403" s="153"/>
      <c r="K403" s="30"/>
      <c r="L403" s="30"/>
      <c r="M403" s="30"/>
      <c r="N403" s="10"/>
    </row>
    <row r="404" spans="1:14" x14ac:dyDescent="0.25">
      <c r="A404" s="149"/>
      <c r="B404" s="150"/>
      <c r="C404" s="154"/>
      <c r="D404" s="155"/>
      <c r="E404" s="155"/>
      <c r="F404" s="156"/>
      <c r="G404" s="154"/>
      <c r="H404" s="155"/>
      <c r="I404" s="155"/>
      <c r="J404" s="156"/>
      <c r="K404" s="30"/>
      <c r="L404" s="30"/>
      <c r="M404" s="30"/>
      <c r="N404" s="10"/>
    </row>
    <row r="405" spans="1:14" ht="15.75" thickBot="1" x14ac:dyDescent="0.3">
      <c r="A405" s="17"/>
      <c r="B405" s="18"/>
      <c r="C405" s="142"/>
      <c r="D405" s="142"/>
      <c r="E405" s="142"/>
      <c r="F405" s="142"/>
      <c r="G405" s="142"/>
      <c r="H405" s="142"/>
      <c r="I405" s="142"/>
      <c r="J405" s="142"/>
      <c r="K405" s="19"/>
      <c r="L405" s="19"/>
      <c r="M405" s="19"/>
      <c r="N405" s="20"/>
    </row>
    <row r="406" spans="1:14" ht="16.5" thickTop="1" thickBot="1" x14ac:dyDescent="0.3"/>
    <row r="407" spans="1:14" ht="19.5" thickTop="1" x14ac:dyDescent="0.25">
      <c r="A407" s="160" t="s">
        <v>545</v>
      </c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2"/>
    </row>
    <row r="408" spans="1:14" x14ac:dyDescent="0.25">
      <c r="A408" s="143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5"/>
    </row>
    <row r="409" spans="1:14" ht="18.75" x14ac:dyDescent="0.25">
      <c r="A409" s="146" t="s">
        <v>291</v>
      </c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8"/>
    </row>
    <row r="410" spans="1:14" x14ac:dyDescent="0.25">
      <c r="A410" s="149" t="s">
        <v>292</v>
      </c>
      <c r="B410" s="150" t="s">
        <v>293</v>
      </c>
      <c r="C410" s="157" t="s">
        <v>294</v>
      </c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9"/>
    </row>
    <row r="411" spans="1:14" x14ac:dyDescent="0.25">
      <c r="A411" s="149"/>
      <c r="B411" s="150"/>
      <c r="C411" s="30" t="s">
        <v>295</v>
      </c>
      <c r="D411" s="30" t="s">
        <v>296</v>
      </c>
      <c r="E411" s="30" t="s">
        <v>297</v>
      </c>
      <c r="F411" s="30" t="s">
        <v>298</v>
      </c>
      <c r="G411" s="30" t="s">
        <v>299</v>
      </c>
      <c r="H411" s="30" t="s">
        <v>300</v>
      </c>
      <c r="I411" s="30" t="s">
        <v>301</v>
      </c>
      <c r="J411" s="30" t="s">
        <v>302</v>
      </c>
      <c r="K411" s="30" t="s">
        <v>303</v>
      </c>
      <c r="L411" s="30" t="s">
        <v>304</v>
      </c>
      <c r="M411" s="30" t="s">
        <v>305</v>
      </c>
      <c r="N411" s="10" t="s">
        <v>306</v>
      </c>
    </row>
    <row r="412" spans="1:14" x14ac:dyDescent="0.25">
      <c r="A412" s="11">
        <v>213</v>
      </c>
      <c r="B412" s="5" t="s">
        <v>237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12"/>
    </row>
    <row r="413" spans="1:14" x14ac:dyDescent="0.25">
      <c r="A413" s="143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5"/>
    </row>
    <row r="414" spans="1:14" x14ac:dyDescent="0.25">
      <c r="A414" s="149" t="s">
        <v>292</v>
      </c>
      <c r="B414" s="150" t="s">
        <v>293</v>
      </c>
      <c r="C414" s="157" t="s">
        <v>308</v>
      </c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9"/>
    </row>
    <row r="415" spans="1:14" x14ac:dyDescent="0.25">
      <c r="A415" s="149"/>
      <c r="B415" s="150"/>
      <c r="C415" s="30" t="s">
        <v>295</v>
      </c>
      <c r="D415" s="30" t="s">
        <v>296</v>
      </c>
      <c r="E415" s="30" t="s">
        <v>297</v>
      </c>
      <c r="F415" s="30" t="s">
        <v>298</v>
      </c>
      <c r="G415" s="30" t="s">
        <v>299</v>
      </c>
      <c r="H415" s="30" t="s">
        <v>300</v>
      </c>
      <c r="I415" s="30" t="s">
        <v>301</v>
      </c>
      <c r="J415" s="30" t="s">
        <v>302</v>
      </c>
      <c r="K415" s="30" t="s">
        <v>303</v>
      </c>
      <c r="L415" s="30" t="s">
        <v>304</v>
      </c>
      <c r="M415" s="30" t="s">
        <v>305</v>
      </c>
      <c r="N415" s="10" t="s">
        <v>306</v>
      </c>
    </row>
    <row r="416" spans="1:14" x14ac:dyDescent="0.25">
      <c r="A416" s="11">
        <v>213</v>
      </c>
      <c r="B416" s="5" t="s">
        <v>237</v>
      </c>
      <c r="C416" s="29">
        <v>6.28</v>
      </c>
      <c r="D416" s="29">
        <v>6.8</v>
      </c>
      <c r="E416" s="29">
        <v>5.83</v>
      </c>
      <c r="F416" s="29">
        <v>4.82</v>
      </c>
      <c r="G416" s="29">
        <v>3.72</v>
      </c>
      <c r="H416" s="29">
        <v>3.24</v>
      </c>
      <c r="I416" s="29">
        <v>3.4</v>
      </c>
      <c r="J416" s="29">
        <v>4.17</v>
      </c>
      <c r="K416" s="29">
        <v>4.9800000000000004</v>
      </c>
      <c r="L416" s="29">
        <v>5.55</v>
      </c>
      <c r="M416" s="29">
        <v>5.2</v>
      </c>
      <c r="N416" s="36">
        <v>5.67</v>
      </c>
    </row>
    <row r="417" spans="1:14" x14ac:dyDescent="0.25">
      <c r="A417" s="165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7"/>
    </row>
    <row r="418" spans="1:14" ht="18.75" x14ac:dyDescent="0.25">
      <c r="A418" s="146" t="s">
        <v>309</v>
      </c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8"/>
    </row>
    <row r="419" spans="1:14" x14ac:dyDescent="0.25">
      <c r="A419" s="149" t="s">
        <v>292</v>
      </c>
      <c r="B419" s="150" t="s">
        <v>293</v>
      </c>
      <c r="C419" s="150" t="s">
        <v>1</v>
      </c>
      <c r="D419" s="150" t="s">
        <v>2</v>
      </c>
      <c r="E419" s="150" t="s">
        <v>310</v>
      </c>
      <c r="F419" s="150"/>
      <c r="G419" s="150"/>
      <c r="H419" s="150"/>
      <c r="I419" s="30"/>
      <c r="J419" s="30"/>
      <c r="K419" s="30"/>
      <c r="L419" s="30"/>
      <c r="M419" s="30"/>
      <c r="N419" s="10"/>
    </row>
    <row r="420" spans="1:14" x14ac:dyDescent="0.25">
      <c r="A420" s="149"/>
      <c r="B420" s="150"/>
      <c r="C420" s="150"/>
      <c r="D420" s="150"/>
      <c r="E420" s="30" t="s">
        <v>292</v>
      </c>
      <c r="F420" s="30" t="s">
        <v>293</v>
      </c>
      <c r="G420" s="30" t="s">
        <v>1</v>
      </c>
      <c r="H420" s="30" t="s">
        <v>2</v>
      </c>
      <c r="I420" s="30"/>
      <c r="J420" s="30"/>
      <c r="K420" s="30"/>
      <c r="L420" s="30"/>
      <c r="M420" s="30"/>
      <c r="N420" s="10"/>
    </row>
    <row r="421" spans="1:14" x14ac:dyDescent="0.25">
      <c r="A421" s="15" t="s">
        <v>236</v>
      </c>
      <c r="B421" s="5" t="s">
        <v>237</v>
      </c>
      <c r="C421" s="35">
        <v>-20.079999999999998</v>
      </c>
      <c r="D421" s="35">
        <v>-40.58</v>
      </c>
      <c r="E421" s="35"/>
      <c r="F421" s="35"/>
      <c r="G421" s="35"/>
      <c r="H421" s="35"/>
      <c r="I421" s="35"/>
      <c r="J421" s="35"/>
      <c r="K421" s="35"/>
      <c r="L421" s="35"/>
      <c r="M421" s="35"/>
      <c r="N421" s="16"/>
    </row>
    <row r="422" spans="1:14" x14ac:dyDescent="0.25">
      <c r="A422" s="143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5"/>
    </row>
    <row r="423" spans="1:14" ht="18.75" x14ac:dyDescent="0.25">
      <c r="A423" s="146" t="s">
        <v>311</v>
      </c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8"/>
    </row>
    <row r="424" spans="1:14" x14ac:dyDescent="0.25">
      <c r="A424" s="149" t="s">
        <v>292</v>
      </c>
      <c r="B424" s="150" t="s">
        <v>293</v>
      </c>
      <c r="C424" s="151" t="s">
        <v>312</v>
      </c>
      <c r="D424" s="152"/>
      <c r="E424" s="152"/>
      <c r="F424" s="153"/>
      <c r="G424" s="151" t="s">
        <v>313</v>
      </c>
      <c r="H424" s="152"/>
      <c r="I424" s="152"/>
      <c r="J424" s="153"/>
      <c r="K424" s="30"/>
      <c r="L424" s="30"/>
      <c r="M424" s="30"/>
      <c r="N424" s="10"/>
    </row>
    <row r="425" spans="1:14" x14ac:dyDescent="0.25">
      <c r="A425" s="149"/>
      <c r="B425" s="150"/>
      <c r="C425" s="154"/>
      <c r="D425" s="155"/>
      <c r="E425" s="155"/>
      <c r="F425" s="156"/>
      <c r="G425" s="154"/>
      <c r="H425" s="155"/>
      <c r="I425" s="155"/>
      <c r="J425" s="156"/>
      <c r="K425" s="30"/>
      <c r="L425" s="30"/>
      <c r="M425" s="30"/>
      <c r="N425" s="10"/>
    </row>
    <row r="426" spans="1:14" ht="15.75" thickBot="1" x14ac:dyDescent="0.3">
      <c r="A426" s="17"/>
      <c r="B426" s="18"/>
      <c r="C426" s="142"/>
      <c r="D426" s="142"/>
      <c r="E426" s="142"/>
      <c r="F426" s="142"/>
      <c r="G426" s="142"/>
      <c r="H426" s="142"/>
      <c r="I426" s="142"/>
      <c r="J426" s="142"/>
      <c r="K426" s="19"/>
      <c r="L426" s="19"/>
      <c r="M426" s="19"/>
      <c r="N426" s="20"/>
    </row>
    <row r="427" spans="1:14" ht="15.75" thickTop="1" x14ac:dyDescent="0.25"/>
  </sheetData>
  <mergeCells count="504">
    <mergeCell ref="A424:A425"/>
    <mergeCell ref="B424:B425"/>
    <mergeCell ref="C424:F425"/>
    <mergeCell ref="G424:J425"/>
    <mergeCell ref="C426:F426"/>
    <mergeCell ref="G426:J426"/>
    <mergeCell ref="A417:N417"/>
    <mergeCell ref="A418:N418"/>
    <mergeCell ref="A419:A420"/>
    <mergeCell ref="B419:B420"/>
    <mergeCell ref="C419:C420"/>
    <mergeCell ref="D419:D420"/>
    <mergeCell ref="E419:H419"/>
    <mergeCell ref="A422:N422"/>
    <mergeCell ref="A423:N423"/>
    <mergeCell ref="A407:N407"/>
    <mergeCell ref="A408:N408"/>
    <mergeCell ref="A409:N409"/>
    <mergeCell ref="A410:A411"/>
    <mergeCell ref="B410:B411"/>
    <mergeCell ref="C410:N410"/>
    <mergeCell ref="A413:N413"/>
    <mergeCell ref="A414:A415"/>
    <mergeCell ref="B414:B415"/>
    <mergeCell ref="C414:N414"/>
    <mergeCell ref="A211:N211"/>
    <mergeCell ref="A212:A213"/>
    <mergeCell ref="B212:B213"/>
    <mergeCell ref="C212:F213"/>
    <mergeCell ref="G212:J213"/>
    <mergeCell ref="C214:F214"/>
    <mergeCell ref="G214:J214"/>
    <mergeCell ref="A207:A208"/>
    <mergeCell ref="B207:B208"/>
    <mergeCell ref="C207:C208"/>
    <mergeCell ref="D207:D208"/>
    <mergeCell ref="E207:H207"/>
    <mergeCell ref="A210:N210"/>
    <mergeCell ref="A201:N201"/>
    <mergeCell ref="A202:A203"/>
    <mergeCell ref="B202:B203"/>
    <mergeCell ref="C202:N202"/>
    <mergeCell ref="A205:N205"/>
    <mergeCell ref="A206:N206"/>
    <mergeCell ref="A195:N195"/>
    <mergeCell ref="A196:N196"/>
    <mergeCell ref="A197:N197"/>
    <mergeCell ref="A198:A199"/>
    <mergeCell ref="B198:B199"/>
    <mergeCell ref="C198:N198"/>
    <mergeCell ref="A190:N190"/>
    <mergeCell ref="A191:A192"/>
    <mergeCell ref="B191:B192"/>
    <mergeCell ref="C191:F192"/>
    <mergeCell ref="G191:J192"/>
    <mergeCell ref="C193:F193"/>
    <mergeCell ref="G193:J193"/>
    <mergeCell ref="A186:A187"/>
    <mergeCell ref="B186:B187"/>
    <mergeCell ref="C186:C187"/>
    <mergeCell ref="D186:D187"/>
    <mergeCell ref="E186:H186"/>
    <mergeCell ref="A189:N189"/>
    <mergeCell ref="A180:N180"/>
    <mergeCell ref="A181:A182"/>
    <mergeCell ref="B181:B182"/>
    <mergeCell ref="C181:N181"/>
    <mergeCell ref="A184:N184"/>
    <mergeCell ref="A185:N185"/>
    <mergeCell ref="A174:N174"/>
    <mergeCell ref="A175:N175"/>
    <mergeCell ref="A176:N176"/>
    <mergeCell ref="A177:A178"/>
    <mergeCell ref="B177:B178"/>
    <mergeCell ref="C177:N177"/>
    <mergeCell ref="A169:N169"/>
    <mergeCell ref="A170:A171"/>
    <mergeCell ref="B170:B171"/>
    <mergeCell ref="C170:F171"/>
    <mergeCell ref="G170:J171"/>
    <mergeCell ref="C172:F172"/>
    <mergeCell ref="G172:J172"/>
    <mergeCell ref="A165:A166"/>
    <mergeCell ref="B165:B166"/>
    <mergeCell ref="C165:C166"/>
    <mergeCell ref="D165:D166"/>
    <mergeCell ref="E165:H165"/>
    <mergeCell ref="A168:N168"/>
    <mergeCell ref="A159:N159"/>
    <mergeCell ref="A160:A161"/>
    <mergeCell ref="B160:B161"/>
    <mergeCell ref="C160:N160"/>
    <mergeCell ref="A163:N163"/>
    <mergeCell ref="A164:N164"/>
    <mergeCell ref="A151:N151"/>
    <mergeCell ref="A152:N152"/>
    <mergeCell ref="A153:N153"/>
    <mergeCell ref="A154:A155"/>
    <mergeCell ref="B154:B155"/>
    <mergeCell ref="C154:N154"/>
    <mergeCell ref="A146:N146"/>
    <mergeCell ref="A147:A148"/>
    <mergeCell ref="B147:B148"/>
    <mergeCell ref="C147:F148"/>
    <mergeCell ref="G147:J148"/>
    <mergeCell ref="C149:F149"/>
    <mergeCell ref="G149:J149"/>
    <mergeCell ref="A142:A143"/>
    <mergeCell ref="B142:B143"/>
    <mergeCell ref="C142:C143"/>
    <mergeCell ref="D142:D143"/>
    <mergeCell ref="E142:H142"/>
    <mergeCell ref="A145:N145"/>
    <mergeCell ref="A136:N136"/>
    <mergeCell ref="A137:A138"/>
    <mergeCell ref="B137:B138"/>
    <mergeCell ref="C137:N137"/>
    <mergeCell ref="A140:N140"/>
    <mergeCell ref="A141:N141"/>
    <mergeCell ref="A129:N129"/>
    <mergeCell ref="A130:N130"/>
    <mergeCell ref="A131:N131"/>
    <mergeCell ref="A132:A133"/>
    <mergeCell ref="B132:B133"/>
    <mergeCell ref="C132:N132"/>
    <mergeCell ref="A124:N124"/>
    <mergeCell ref="A125:A126"/>
    <mergeCell ref="B125:B126"/>
    <mergeCell ref="C125:F126"/>
    <mergeCell ref="G125:J126"/>
    <mergeCell ref="C127:F127"/>
    <mergeCell ref="G127:J127"/>
    <mergeCell ref="A120:A121"/>
    <mergeCell ref="B120:B121"/>
    <mergeCell ref="C120:C121"/>
    <mergeCell ref="D120:D121"/>
    <mergeCell ref="E120:H120"/>
    <mergeCell ref="A123:N123"/>
    <mergeCell ref="A114:N114"/>
    <mergeCell ref="A115:A116"/>
    <mergeCell ref="B115:B116"/>
    <mergeCell ref="C115:N115"/>
    <mergeCell ref="A118:N118"/>
    <mergeCell ref="A119:N119"/>
    <mergeCell ref="A107:N107"/>
    <mergeCell ref="A108:N108"/>
    <mergeCell ref="A109:N109"/>
    <mergeCell ref="A110:A111"/>
    <mergeCell ref="B110:B111"/>
    <mergeCell ref="C110:N110"/>
    <mergeCell ref="A103:A104"/>
    <mergeCell ref="B103:B104"/>
    <mergeCell ref="C103:F104"/>
    <mergeCell ref="G103:J104"/>
    <mergeCell ref="C105:F105"/>
    <mergeCell ref="G105:J105"/>
    <mergeCell ref="A98:A99"/>
    <mergeCell ref="B98:B99"/>
    <mergeCell ref="C98:C99"/>
    <mergeCell ref="D98:D99"/>
    <mergeCell ref="E98:H98"/>
    <mergeCell ref="A101:N101"/>
    <mergeCell ref="A96:N96"/>
    <mergeCell ref="A97:N97"/>
    <mergeCell ref="A86:N86"/>
    <mergeCell ref="A87:N87"/>
    <mergeCell ref="A88:N88"/>
    <mergeCell ref="A89:A90"/>
    <mergeCell ref="B89:B90"/>
    <mergeCell ref="C89:N89"/>
    <mergeCell ref="A102:N102"/>
    <mergeCell ref="A80:N80"/>
    <mergeCell ref="A81:N81"/>
    <mergeCell ref="A82:A83"/>
    <mergeCell ref="B82:B83"/>
    <mergeCell ref="C82:F83"/>
    <mergeCell ref="G82:J83"/>
    <mergeCell ref="I77:I78"/>
    <mergeCell ref="A92:N92"/>
    <mergeCell ref="A93:A94"/>
    <mergeCell ref="B93:B94"/>
    <mergeCell ref="C93:N93"/>
    <mergeCell ref="C84:F84"/>
    <mergeCell ref="G84:J84"/>
    <mergeCell ref="A71:N71"/>
    <mergeCell ref="A72:A73"/>
    <mergeCell ref="B72:B73"/>
    <mergeCell ref="C72:N72"/>
    <mergeCell ref="A75:N75"/>
    <mergeCell ref="A76:N76"/>
    <mergeCell ref="A77:A78"/>
    <mergeCell ref="B77:B78"/>
    <mergeCell ref="C77:C78"/>
    <mergeCell ref="D77:D78"/>
    <mergeCell ref="E77:H77"/>
    <mergeCell ref="A65:N65"/>
    <mergeCell ref="A66:N66"/>
    <mergeCell ref="A67:N67"/>
    <mergeCell ref="A68:A69"/>
    <mergeCell ref="B68:B69"/>
    <mergeCell ref="C68:N68"/>
    <mergeCell ref="D56:D57"/>
    <mergeCell ref="E56:H56"/>
    <mergeCell ref="A59:N59"/>
    <mergeCell ref="A60:N60"/>
    <mergeCell ref="A61:A62"/>
    <mergeCell ref="B61:B62"/>
    <mergeCell ref="C61:F62"/>
    <mergeCell ref="G61:J62"/>
    <mergeCell ref="I56:I57"/>
    <mergeCell ref="C63:F63"/>
    <mergeCell ref="G63:J63"/>
    <mergeCell ref="A50:N50"/>
    <mergeCell ref="A51:A52"/>
    <mergeCell ref="B51:B52"/>
    <mergeCell ref="C51:N51"/>
    <mergeCell ref="A54:N54"/>
    <mergeCell ref="A55:N55"/>
    <mergeCell ref="A56:A57"/>
    <mergeCell ref="B56:B57"/>
    <mergeCell ref="C56:C57"/>
    <mergeCell ref="A44:N44"/>
    <mergeCell ref="A45:N45"/>
    <mergeCell ref="A46:N46"/>
    <mergeCell ref="A47:A48"/>
    <mergeCell ref="B47:B48"/>
    <mergeCell ref="C47:N47"/>
    <mergeCell ref="D35:D36"/>
    <mergeCell ref="E35:H35"/>
    <mergeCell ref="A38:N38"/>
    <mergeCell ref="A39:N39"/>
    <mergeCell ref="A40:A41"/>
    <mergeCell ref="B40:B41"/>
    <mergeCell ref="C40:F41"/>
    <mergeCell ref="G40:J41"/>
    <mergeCell ref="I35:I36"/>
    <mergeCell ref="C42:F42"/>
    <mergeCell ref="G42:J42"/>
    <mergeCell ref="A29:N29"/>
    <mergeCell ref="A30:A31"/>
    <mergeCell ref="B30:B31"/>
    <mergeCell ref="C30:N30"/>
    <mergeCell ref="A33:N33"/>
    <mergeCell ref="A34:N34"/>
    <mergeCell ref="A35:A36"/>
    <mergeCell ref="B35:B36"/>
    <mergeCell ref="C35:C36"/>
    <mergeCell ref="A12:N12"/>
    <mergeCell ref="A13:N13"/>
    <mergeCell ref="A14:A15"/>
    <mergeCell ref="B14:B15"/>
    <mergeCell ref="C14:C15"/>
    <mergeCell ref="A23:N23"/>
    <mergeCell ref="A24:N24"/>
    <mergeCell ref="A25:N25"/>
    <mergeCell ref="A26:A27"/>
    <mergeCell ref="B26:B27"/>
    <mergeCell ref="C26:N26"/>
    <mergeCell ref="D14:D15"/>
    <mergeCell ref="E14:H14"/>
    <mergeCell ref="A17:N17"/>
    <mergeCell ref="A18:N18"/>
    <mergeCell ref="A19:A20"/>
    <mergeCell ref="B19:B20"/>
    <mergeCell ref="C19:F20"/>
    <mergeCell ref="G19:J20"/>
    <mergeCell ref="I14:I15"/>
    <mergeCell ref="C21:F21"/>
    <mergeCell ref="G21:J21"/>
    <mergeCell ref="A2:N2"/>
    <mergeCell ref="A3:N3"/>
    <mergeCell ref="A4:N4"/>
    <mergeCell ref="A5:A6"/>
    <mergeCell ref="B5:B6"/>
    <mergeCell ref="C5:N5"/>
    <mergeCell ref="A8:N8"/>
    <mergeCell ref="A9:A10"/>
    <mergeCell ref="B9:B10"/>
    <mergeCell ref="C9:N9"/>
    <mergeCell ref="A216:N216"/>
    <mergeCell ref="A217:N217"/>
    <mergeCell ref="A218:N218"/>
    <mergeCell ref="A219:A220"/>
    <mergeCell ref="B219:B220"/>
    <mergeCell ref="C219:N219"/>
    <mergeCell ref="A223:N223"/>
    <mergeCell ref="A224:A225"/>
    <mergeCell ref="B224:B225"/>
    <mergeCell ref="C224:N224"/>
    <mergeCell ref="A227:N227"/>
    <mergeCell ref="A228:N228"/>
    <mergeCell ref="A229:A230"/>
    <mergeCell ref="B229:B230"/>
    <mergeCell ref="C229:C230"/>
    <mergeCell ref="D229:D230"/>
    <mergeCell ref="E229:H229"/>
    <mergeCell ref="A232:N232"/>
    <mergeCell ref="A233:N233"/>
    <mergeCell ref="A234:A235"/>
    <mergeCell ref="B234:B235"/>
    <mergeCell ref="C234:F235"/>
    <mergeCell ref="G234:J235"/>
    <mergeCell ref="C236:F236"/>
    <mergeCell ref="G236:J236"/>
    <mergeCell ref="A238:N238"/>
    <mergeCell ref="A239:N239"/>
    <mergeCell ref="A240:N240"/>
    <mergeCell ref="A241:A242"/>
    <mergeCell ref="B241:B242"/>
    <mergeCell ref="C241:N241"/>
    <mergeCell ref="A244:N244"/>
    <mergeCell ref="A245:A246"/>
    <mergeCell ref="B245:B246"/>
    <mergeCell ref="C245:N245"/>
    <mergeCell ref="A248:N248"/>
    <mergeCell ref="A249:N249"/>
    <mergeCell ref="A250:A251"/>
    <mergeCell ref="B250:B251"/>
    <mergeCell ref="C250:C251"/>
    <mergeCell ref="D250:D251"/>
    <mergeCell ref="E250:H250"/>
    <mergeCell ref="A253:N253"/>
    <mergeCell ref="A254:N254"/>
    <mergeCell ref="A255:A256"/>
    <mergeCell ref="B255:B256"/>
    <mergeCell ref="C255:F256"/>
    <mergeCell ref="G255:J256"/>
    <mergeCell ref="C257:F257"/>
    <mergeCell ref="G257:J257"/>
    <mergeCell ref="A259:N259"/>
    <mergeCell ref="A260:N260"/>
    <mergeCell ref="A261:N261"/>
    <mergeCell ref="A262:A263"/>
    <mergeCell ref="B262:B263"/>
    <mergeCell ref="C262:N262"/>
    <mergeCell ref="A265:N265"/>
    <mergeCell ref="A266:A267"/>
    <mergeCell ref="B266:B267"/>
    <mergeCell ref="C266:N266"/>
    <mergeCell ref="A269:N269"/>
    <mergeCell ref="A270:N270"/>
    <mergeCell ref="A271:A272"/>
    <mergeCell ref="B271:B272"/>
    <mergeCell ref="C271:C272"/>
    <mergeCell ref="D271:D272"/>
    <mergeCell ref="E271:H271"/>
    <mergeCell ref="A274:N274"/>
    <mergeCell ref="A275:N275"/>
    <mergeCell ref="A276:A277"/>
    <mergeCell ref="B276:B277"/>
    <mergeCell ref="C276:F277"/>
    <mergeCell ref="G276:J277"/>
    <mergeCell ref="C278:F278"/>
    <mergeCell ref="G278:J278"/>
    <mergeCell ref="A280:N280"/>
    <mergeCell ref="A281:N281"/>
    <mergeCell ref="A282:N282"/>
    <mergeCell ref="A283:A284"/>
    <mergeCell ref="B283:B284"/>
    <mergeCell ref="C283:N283"/>
    <mergeCell ref="A286:N286"/>
    <mergeCell ref="A287:A288"/>
    <mergeCell ref="B287:B288"/>
    <mergeCell ref="C287:N287"/>
    <mergeCell ref="A290:N290"/>
    <mergeCell ref="A291:N291"/>
    <mergeCell ref="A292:A293"/>
    <mergeCell ref="B292:B293"/>
    <mergeCell ref="C292:C293"/>
    <mergeCell ref="D292:D293"/>
    <mergeCell ref="E292:H292"/>
    <mergeCell ref="A295:N295"/>
    <mergeCell ref="A296:N296"/>
    <mergeCell ref="A297:A298"/>
    <mergeCell ref="B297:B298"/>
    <mergeCell ref="C297:F298"/>
    <mergeCell ref="G297:J298"/>
    <mergeCell ref="C299:F299"/>
    <mergeCell ref="G299:J299"/>
    <mergeCell ref="A301:N301"/>
    <mergeCell ref="A302:N302"/>
    <mergeCell ref="A303:N303"/>
    <mergeCell ref="A304:A305"/>
    <mergeCell ref="B304:B305"/>
    <mergeCell ref="C304:N304"/>
    <mergeCell ref="A307:N307"/>
    <mergeCell ref="A308:A309"/>
    <mergeCell ref="B308:B309"/>
    <mergeCell ref="C308:N308"/>
    <mergeCell ref="A311:N311"/>
    <mergeCell ref="A312:N312"/>
    <mergeCell ref="A313:A314"/>
    <mergeCell ref="B313:B314"/>
    <mergeCell ref="C313:C314"/>
    <mergeCell ref="D313:D314"/>
    <mergeCell ref="E313:H313"/>
    <mergeCell ref="A316:N316"/>
    <mergeCell ref="A317:N317"/>
    <mergeCell ref="A318:A319"/>
    <mergeCell ref="B318:B319"/>
    <mergeCell ref="C318:F319"/>
    <mergeCell ref="G318:J319"/>
    <mergeCell ref="C320:F320"/>
    <mergeCell ref="G320:J320"/>
    <mergeCell ref="A322:N322"/>
    <mergeCell ref="A323:N323"/>
    <mergeCell ref="A324:N324"/>
    <mergeCell ref="A325:A326"/>
    <mergeCell ref="B325:B326"/>
    <mergeCell ref="C325:N325"/>
    <mergeCell ref="A328:N328"/>
    <mergeCell ref="A329:A330"/>
    <mergeCell ref="B329:B330"/>
    <mergeCell ref="C329:N329"/>
    <mergeCell ref="A332:N332"/>
    <mergeCell ref="A333:N333"/>
    <mergeCell ref="A334:A335"/>
    <mergeCell ref="B334:B335"/>
    <mergeCell ref="C334:C335"/>
    <mergeCell ref="D334:D335"/>
    <mergeCell ref="E334:H334"/>
    <mergeCell ref="A337:N337"/>
    <mergeCell ref="A338:N338"/>
    <mergeCell ref="A339:A340"/>
    <mergeCell ref="B339:B340"/>
    <mergeCell ref="C339:F340"/>
    <mergeCell ref="G339:J340"/>
    <mergeCell ref="C341:F341"/>
    <mergeCell ref="G341:J341"/>
    <mergeCell ref="A343:N343"/>
    <mergeCell ref="A344:N344"/>
    <mergeCell ref="A345:N345"/>
    <mergeCell ref="A346:A347"/>
    <mergeCell ref="B346:B347"/>
    <mergeCell ref="C346:N346"/>
    <mergeCell ref="A350:N350"/>
    <mergeCell ref="A351:A352"/>
    <mergeCell ref="B351:B352"/>
    <mergeCell ref="C351:N351"/>
    <mergeCell ref="A354:N354"/>
    <mergeCell ref="A355:N355"/>
    <mergeCell ref="A356:A357"/>
    <mergeCell ref="B356:B357"/>
    <mergeCell ref="C356:C357"/>
    <mergeCell ref="D356:D357"/>
    <mergeCell ref="E356:H356"/>
    <mergeCell ref="A359:N359"/>
    <mergeCell ref="A360:N360"/>
    <mergeCell ref="A361:A362"/>
    <mergeCell ref="B361:B362"/>
    <mergeCell ref="C361:F362"/>
    <mergeCell ref="G361:J362"/>
    <mergeCell ref="C363:F363"/>
    <mergeCell ref="G363:J363"/>
    <mergeCell ref="A365:N365"/>
    <mergeCell ref="A366:N366"/>
    <mergeCell ref="A367:N367"/>
    <mergeCell ref="A368:A369"/>
    <mergeCell ref="B368:B369"/>
    <mergeCell ref="C368:N368"/>
    <mergeCell ref="A371:N371"/>
    <mergeCell ref="A372:A373"/>
    <mergeCell ref="B372:B373"/>
    <mergeCell ref="C372:N372"/>
    <mergeCell ref="A375:N375"/>
    <mergeCell ref="A376:N376"/>
    <mergeCell ref="C384:F384"/>
    <mergeCell ref="G384:J384"/>
    <mergeCell ref="A377:A378"/>
    <mergeCell ref="B377:B378"/>
    <mergeCell ref="C377:C378"/>
    <mergeCell ref="D377:D378"/>
    <mergeCell ref="E377:H377"/>
    <mergeCell ref="A380:N380"/>
    <mergeCell ref="A381:N381"/>
    <mergeCell ref="A382:A383"/>
    <mergeCell ref="B382:B383"/>
    <mergeCell ref="C382:F383"/>
    <mergeCell ref="G382:J383"/>
    <mergeCell ref="A386:N386"/>
    <mergeCell ref="A387:N387"/>
    <mergeCell ref="A388:N388"/>
    <mergeCell ref="A389:A390"/>
    <mergeCell ref="B389:B390"/>
    <mergeCell ref="C389:N389"/>
    <mergeCell ref="A392:N392"/>
    <mergeCell ref="A393:A394"/>
    <mergeCell ref="B393:B394"/>
    <mergeCell ref="C393:N393"/>
    <mergeCell ref="A403:A404"/>
    <mergeCell ref="B403:B404"/>
    <mergeCell ref="C403:F404"/>
    <mergeCell ref="G403:J404"/>
    <mergeCell ref="C405:F405"/>
    <mergeCell ref="G405:J405"/>
    <mergeCell ref="A396:N396"/>
    <mergeCell ref="A397:N397"/>
    <mergeCell ref="A398:A399"/>
    <mergeCell ref="B398:B399"/>
    <mergeCell ref="C398:C399"/>
    <mergeCell ref="D398:D399"/>
    <mergeCell ref="E398:H398"/>
    <mergeCell ref="A401:N401"/>
    <mergeCell ref="A402:N402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ONS_Produtos" ma:contentTypeID="0x010100242DB1FAA044594F94287B1DB165CABE00A5D49EFF5D200645BD297B8AC6118DCE" ma:contentTypeVersion="18" ma:contentTypeDescription="" ma:contentTypeScope="" ma:versionID="1ca5f63eaf455d5bb3a16e7560d8b836">
  <xsd:schema xmlns:xsd="http://www.w3.org/2001/XMLSchema" xmlns:xs="http://www.w3.org/2001/XMLSchema" xmlns:p="http://schemas.microsoft.com/office/2006/metadata/properties" xmlns:ns2="8a00d3f9-ef18-4b07-840e-32dd3330701b" xmlns:ns3="af85296e-61eb-4c20-8d70-856387d3ac93" xmlns:ns4="677f5312-f494-41a2-bb06-8c78c131cba9" targetNamespace="http://schemas.microsoft.com/office/2006/metadata/properties" ma:root="true" ma:fieldsID="4dbb575cd280986baaba0a54ce9e3f3b" ns2:_="" ns3:_="" ns4:_="">
    <xsd:import namespace="8a00d3f9-ef18-4b07-840e-32dd3330701b"/>
    <xsd:import namespace="af85296e-61eb-4c20-8d70-856387d3ac93"/>
    <xsd:import namespace="677f5312-f494-41a2-bb06-8c78c131cba9"/>
    <xsd:element name="properties">
      <xsd:complexType>
        <xsd:sequence>
          <xsd:element name="documentManagement">
            <xsd:complexType>
              <xsd:all>
                <xsd:element ref="ns2:DataProdutos"/>
                <xsd:element ref="ns3:Processo"/>
                <xsd:element ref="ns3:Pasta" minOccurs="0"/>
                <xsd:element ref="ns3:Estrutura"/>
                <xsd:element ref="ns3:Macroprocesso"/>
                <xsd:element ref="ns3:Produto"/>
                <xsd:element ref="ns2:PublicarEm"/>
                <xsd:element ref="ns3:Periodicidade"/>
                <xsd:element ref="ns3:PeriodicidadeFinal"/>
                <xsd:element ref="ns4:DescricaoProdu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0d3f9-ef18-4b07-840e-32dd3330701b" elementFormDefault="qualified">
    <xsd:import namespace="http://schemas.microsoft.com/office/2006/documentManagement/types"/>
    <xsd:import namespace="http://schemas.microsoft.com/office/infopath/2007/PartnerControls"/>
    <xsd:element name="DataProdutos" ma:index="9" ma:displayName="Data Produto" ma:internalName="DataProdutos" ma:readOnly="false">
      <xsd:simpleType>
        <xsd:restriction base="dms:Text">
          <xsd:maxLength value="255"/>
        </xsd:restriction>
      </xsd:simpleType>
    </xsd:element>
    <xsd:element name="PublicarEm" ma:index="15" ma:displayName="Publicar Em" ma:format="DateTime" ma:internalName="PublicarE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5296e-61eb-4c20-8d70-856387d3ac93" elementFormDefault="qualified">
    <xsd:import namespace="http://schemas.microsoft.com/office/2006/documentManagement/types"/>
    <xsd:import namespace="http://schemas.microsoft.com/office/infopath/2007/PartnerControls"/>
    <xsd:element name="Processo" ma:index="10" ma:displayName="Processo" ma:internalName="Processo" ma:readOnly="false">
      <xsd:simpleType>
        <xsd:restriction base="dms:Text">
          <xsd:maxLength value="255"/>
        </xsd:restriction>
      </xsd:simpleType>
    </xsd:element>
    <xsd:element name="Pasta" ma:index="11" nillable="true" ma:displayName="Pasta" ma:default="1" ma:internalName="Pasta" ma:readOnly="false">
      <xsd:simpleType>
        <xsd:restriction base="dms:Boolean"/>
      </xsd:simpleType>
    </xsd:element>
    <xsd:element name="Estrutura" ma:index="12" ma:displayName="Estrutura" ma:internalName="Estrutura" ma:readOnly="false">
      <xsd:simpleType>
        <xsd:restriction base="dms:Text">
          <xsd:maxLength value="255"/>
        </xsd:restriction>
      </xsd:simpleType>
    </xsd:element>
    <xsd:element name="Macroprocesso" ma:index="13" ma:displayName="Macroprocesso" ma:internalName="Macroprocesso" ma:readOnly="false">
      <xsd:simpleType>
        <xsd:restriction base="dms:Text">
          <xsd:maxLength value="255"/>
        </xsd:restriction>
      </xsd:simpleType>
    </xsd:element>
    <xsd:element name="Produto" ma:index="14" ma:displayName="Produto" ma:internalName="Produto">
      <xsd:simpleType>
        <xsd:restriction base="dms:Text">
          <xsd:maxLength value="255"/>
        </xsd:restriction>
      </xsd:simpleType>
    </xsd:element>
    <xsd:element name="Periodicidade" ma:index="16" ma:displayName="Periodicidade" ma:format="DateOnly" ma:internalName="Periodicidade">
      <xsd:simpleType>
        <xsd:restriction base="dms:DateTime"/>
      </xsd:simpleType>
    </xsd:element>
    <xsd:element name="PeriodicidadeFinal" ma:index="17" ma:displayName="PeriodicidadeFinal" ma:format="DateOnly" ma:internalName="PeriodicidadeFinal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f5312-f494-41a2-bb06-8c78c131cba9" elementFormDefault="qualified">
    <xsd:import namespace="http://schemas.microsoft.com/office/2006/documentManagement/types"/>
    <xsd:import namespace="http://schemas.microsoft.com/office/infopath/2007/PartnerControls"/>
    <xsd:element name="DescricaoProduto" ma:index="18" nillable="true" ma:displayName="Descrição do Produto" ma:description="Descrição do Produto" ma:internalName="DescricaoProduto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1c69be88-e44b-4002-83bd-2daf194424fc" ContentTypeId="0x010100242DB1FAA044594F94287B1DB165CABE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carEm xmlns="8a00d3f9-ef18-4b07-840e-32dd3330701b">2020-04-30T18:01:01+00:00</PublicarEm>
    <Produto xmlns="af85296e-61eb-4c20-8d70-856387d3ac93">Dados Gerais do Processo de Previsão de Vazões</Produto>
    <DataProdutos xmlns="8a00d3f9-ef18-4b07-840e-32dd3330701b">2020</DataProdutos>
    <Pasta xmlns="af85296e-61eb-4c20-8d70-856387d3ac93">true</Pasta>
    <Estrutura xmlns="af85296e-61eb-4c20-8d70-856387d3ac93">sintegre.ons.org.br-sites-9-13</Estrutura>
    <Processo xmlns="af85296e-61eb-4c20-8d70-856387d3ac93">Acompanhamento e Previsão Hidrológica</Processo>
    <Periodicidade xmlns="af85296e-61eb-4c20-8d70-856387d3ac93">2020-01-01T03:00:00+00:00</Periodicidade>
    <Macroprocesso xmlns="af85296e-61eb-4c20-8d70-856387d3ac93">Programação da Operação</Macroprocesso>
    <PeriodicidadeFinal xmlns="af85296e-61eb-4c20-8d70-856387d3ac93">2021-01-01T02:59:59+00:00</PeriodicidadeFinal>
    <DescricaoProduto xmlns="677f5312-f494-41a2-bb06-8c78c131cba9">2020</DescricaoProduto>
  </documentManagement>
</p:properties>
</file>

<file path=customXml/itemProps1.xml><?xml version="1.0" encoding="utf-8"?>
<ds:datastoreItem xmlns:ds="http://schemas.openxmlformats.org/officeDocument/2006/customXml" ds:itemID="{E944BFEB-2D16-4A61-9EE1-2A625EEA0A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903665-0A8B-424B-BEE7-FE747A6AA1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0d3f9-ef18-4b07-840e-32dd3330701b"/>
    <ds:schemaRef ds:uri="af85296e-61eb-4c20-8d70-856387d3ac93"/>
    <ds:schemaRef ds:uri="677f5312-f494-41a2-bb06-8c78c131cb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49FF0A-B808-467B-85E8-6328449B08F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EFE6812-4426-4EB8-8026-8FF4FDABA2D6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af85296e-61eb-4c20-8d70-856387d3ac93"/>
    <ds:schemaRef ds:uri="http://schemas.microsoft.com/office/2006/documentManagement/types"/>
    <ds:schemaRef ds:uri="8a00d3f9-ef18-4b07-840e-32dd3330701b"/>
    <ds:schemaRef ds:uri="677f5312-f494-41a2-bb06-8c78c131cba9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PSAT</vt:lpstr>
      <vt:lpstr>RESUMO</vt:lpstr>
      <vt:lpstr>SMAP GRANDE E PARANAIBA</vt:lpstr>
      <vt:lpstr>SMAP PARANAZÃO</vt:lpstr>
      <vt:lpstr>SMAP SUL</vt:lpstr>
      <vt:lpstr>SMAP NE</vt:lpstr>
      <vt:lpstr>SMAP NORTE</vt:lpstr>
      <vt:lpstr>SMAP OUTRAS_SE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Dados Gerais do Processo de Previsão de Vazões</dc:title>
  <dc:subject/>
  <dc:creator>Simone Borim  Da Silva</dc:creator>
  <cp:keywords/>
  <dc:description/>
  <cp:lastModifiedBy>Lilian Marie Tenorio Yamamoto</cp:lastModifiedBy>
  <cp:revision/>
  <dcterms:created xsi:type="dcterms:W3CDTF">2017-10-10T14:13:15Z</dcterms:created>
  <dcterms:modified xsi:type="dcterms:W3CDTF">2025-04-25T17:13:00Z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0x010100242DB1FAA044594F94287B1DB165CABE00A5D49EFF5D200645BD297B8AC6118DCE</vt:lpwstr>
  </property>
  <property fmtid="{D5CDD505-2E9C-101B-9397-08002B2CF9AE}" pid="3" name="WorkflowChangePath">
    <vt:lpwstr>df58e497-a232-4c00-a8b2-8587618a2174,4;</vt:lpwstr>
  </property>
</Properties>
</file>